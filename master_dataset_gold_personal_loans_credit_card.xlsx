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tha\Downloads\"/>
    </mc:Choice>
  </mc:AlternateContent>
  <xr:revisionPtr revIDLastSave="0" documentId="13_ncr:1_{48C203AE-9018-4CC4-BF47-43DC96A8C3C9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README" sheetId="1" r:id="rId1"/>
    <sheet name="Master_Dataset" sheetId="2" r:id="rId2"/>
    <sheet name="Model_Variable_Map" sheetId="3" r:id="rId3"/>
    <sheet name="Data_Sources" sheetId="4" r:id="rId4"/>
    <sheet name="Notes_and_Gap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68" i="2" l="1"/>
  <c r="R68" i="2"/>
  <c r="Q68" i="2"/>
  <c r="G68" i="2"/>
  <c r="F68" i="2"/>
  <c r="E68" i="2"/>
  <c r="T67" i="2"/>
  <c r="R67" i="2"/>
  <c r="Q67" i="2"/>
  <c r="G67" i="2"/>
  <c r="F67" i="2"/>
  <c r="E67" i="2"/>
  <c r="T66" i="2"/>
  <c r="R66" i="2"/>
  <c r="Q66" i="2"/>
  <c r="G66" i="2"/>
  <c r="F66" i="2"/>
  <c r="E66" i="2"/>
  <c r="T65" i="2"/>
  <c r="R65" i="2"/>
  <c r="Q65" i="2"/>
  <c r="G65" i="2"/>
  <c r="F65" i="2"/>
  <c r="E65" i="2"/>
  <c r="T64" i="2"/>
  <c r="R64" i="2"/>
  <c r="Q64" i="2"/>
  <c r="G64" i="2"/>
  <c r="F64" i="2"/>
  <c r="E64" i="2"/>
  <c r="T63" i="2"/>
  <c r="R63" i="2"/>
  <c r="Q63" i="2"/>
  <c r="G63" i="2"/>
  <c r="F63" i="2"/>
  <c r="E63" i="2"/>
  <c r="T62" i="2"/>
  <c r="R62" i="2"/>
  <c r="Q62" i="2"/>
  <c r="G62" i="2"/>
  <c r="F62" i="2"/>
  <c r="E62" i="2"/>
  <c r="T61" i="2"/>
  <c r="R61" i="2"/>
  <c r="Q61" i="2"/>
  <c r="G61" i="2"/>
  <c r="F61" i="2"/>
  <c r="E61" i="2"/>
  <c r="T60" i="2"/>
  <c r="R60" i="2"/>
  <c r="Q60" i="2"/>
  <c r="G60" i="2"/>
  <c r="F60" i="2"/>
  <c r="E60" i="2"/>
  <c r="T59" i="2"/>
  <c r="R59" i="2"/>
  <c r="Q59" i="2"/>
  <c r="G59" i="2"/>
  <c r="F59" i="2"/>
  <c r="E59" i="2"/>
  <c r="T58" i="2"/>
  <c r="R58" i="2"/>
  <c r="Q58" i="2"/>
  <c r="G58" i="2"/>
  <c r="F58" i="2"/>
  <c r="E58" i="2"/>
  <c r="T57" i="2"/>
  <c r="R57" i="2"/>
  <c r="Q57" i="2"/>
  <c r="G57" i="2"/>
  <c r="F57" i="2"/>
  <c r="E57" i="2"/>
  <c r="T56" i="2"/>
  <c r="R56" i="2"/>
  <c r="Q56" i="2"/>
  <c r="G56" i="2"/>
  <c r="F56" i="2"/>
  <c r="E56" i="2"/>
  <c r="T55" i="2"/>
  <c r="R55" i="2"/>
  <c r="Q55" i="2"/>
  <c r="G55" i="2"/>
  <c r="F55" i="2"/>
  <c r="E55" i="2"/>
  <c r="T54" i="2"/>
  <c r="R54" i="2"/>
  <c r="Q54" i="2"/>
  <c r="G54" i="2"/>
  <c r="F54" i="2"/>
  <c r="E54" i="2"/>
  <c r="T53" i="2"/>
  <c r="R53" i="2"/>
  <c r="Q53" i="2"/>
  <c r="G53" i="2"/>
  <c r="F53" i="2"/>
  <c r="E53" i="2"/>
  <c r="T52" i="2"/>
  <c r="R52" i="2"/>
  <c r="Q52" i="2"/>
  <c r="G52" i="2"/>
  <c r="F52" i="2"/>
  <c r="E52" i="2"/>
  <c r="T51" i="2"/>
  <c r="R51" i="2"/>
  <c r="Q51" i="2"/>
  <c r="G51" i="2"/>
  <c r="F51" i="2"/>
  <c r="E51" i="2"/>
  <c r="T50" i="2"/>
  <c r="R50" i="2"/>
  <c r="Q50" i="2"/>
  <c r="G50" i="2"/>
  <c r="F50" i="2"/>
  <c r="E50" i="2"/>
  <c r="T49" i="2"/>
  <c r="R49" i="2"/>
  <c r="Q49" i="2"/>
  <c r="G49" i="2"/>
  <c r="F49" i="2"/>
  <c r="E49" i="2"/>
  <c r="T48" i="2"/>
  <c r="R48" i="2"/>
  <c r="Q48" i="2"/>
  <c r="G48" i="2"/>
  <c r="F48" i="2"/>
  <c r="E48" i="2"/>
  <c r="T47" i="2"/>
  <c r="R47" i="2"/>
  <c r="Q47" i="2"/>
  <c r="G47" i="2"/>
  <c r="F47" i="2"/>
  <c r="E47" i="2"/>
  <c r="T46" i="2"/>
  <c r="R46" i="2"/>
  <c r="Q46" i="2"/>
  <c r="G46" i="2"/>
  <c r="F46" i="2"/>
  <c r="E46" i="2"/>
  <c r="T45" i="2"/>
  <c r="R45" i="2"/>
  <c r="Q45" i="2"/>
  <c r="G45" i="2"/>
  <c r="F45" i="2"/>
  <c r="E45" i="2"/>
  <c r="T44" i="2"/>
  <c r="R44" i="2"/>
  <c r="Q44" i="2"/>
  <c r="G44" i="2"/>
  <c r="F44" i="2"/>
  <c r="E44" i="2"/>
  <c r="T43" i="2"/>
  <c r="R43" i="2"/>
  <c r="Q43" i="2"/>
  <c r="G43" i="2"/>
  <c r="F43" i="2"/>
  <c r="E43" i="2"/>
  <c r="T42" i="2"/>
  <c r="R42" i="2"/>
  <c r="Q42" i="2"/>
  <c r="G42" i="2"/>
  <c r="F42" i="2"/>
  <c r="E42" i="2"/>
  <c r="T41" i="2"/>
  <c r="R41" i="2"/>
  <c r="Q41" i="2"/>
  <c r="G41" i="2"/>
  <c r="F41" i="2"/>
  <c r="E41" i="2"/>
  <c r="T40" i="2"/>
  <c r="R40" i="2"/>
  <c r="Q40" i="2"/>
  <c r="G40" i="2"/>
  <c r="F40" i="2"/>
  <c r="E40" i="2"/>
  <c r="T39" i="2"/>
  <c r="R39" i="2"/>
  <c r="Q39" i="2"/>
  <c r="G39" i="2"/>
  <c r="F39" i="2"/>
  <c r="E39" i="2"/>
  <c r="T38" i="2"/>
  <c r="R38" i="2"/>
  <c r="Q38" i="2"/>
  <c r="G38" i="2"/>
  <c r="F38" i="2"/>
  <c r="E38" i="2"/>
  <c r="T37" i="2"/>
  <c r="R37" i="2"/>
  <c r="Q37" i="2"/>
  <c r="G37" i="2"/>
  <c r="F37" i="2"/>
  <c r="E37" i="2"/>
  <c r="T36" i="2"/>
  <c r="R36" i="2"/>
  <c r="Q36" i="2"/>
  <c r="G36" i="2"/>
  <c r="F36" i="2"/>
  <c r="E36" i="2"/>
  <c r="T35" i="2"/>
  <c r="R35" i="2"/>
  <c r="Q35" i="2"/>
  <c r="G35" i="2"/>
  <c r="F35" i="2"/>
  <c r="E35" i="2"/>
  <c r="T34" i="2"/>
  <c r="R34" i="2"/>
  <c r="Q34" i="2"/>
  <c r="G34" i="2"/>
  <c r="F34" i="2"/>
  <c r="E34" i="2"/>
  <c r="T33" i="2"/>
  <c r="R33" i="2"/>
  <c r="Q33" i="2"/>
  <c r="G33" i="2"/>
  <c r="F33" i="2"/>
  <c r="E33" i="2"/>
  <c r="T32" i="2"/>
  <c r="R32" i="2"/>
  <c r="Q32" i="2"/>
  <c r="G32" i="2"/>
  <c r="F32" i="2"/>
  <c r="E32" i="2"/>
  <c r="T31" i="2"/>
  <c r="R31" i="2"/>
  <c r="Q31" i="2"/>
  <c r="G31" i="2"/>
  <c r="F31" i="2"/>
  <c r="E31" i="2"/>
  <c r="T30" i="2"/>
  <c r="R30" i="2"/>
  <c r="Q30" i="2"/>
  <c r="G30" i="2"/>
  <c r="F30" i="2"/>
  <c r="E30" i="2"/>
  <c r="T29" i="2"/>
  <c r="R29" i="2"/>
  <c r="Q29" i="2"/>
  <c r="G29" i="2"/>
  <c r="F29" i="2"/>
  <c r="E29" i="2"/>
  <c r="T28" i="2"/>
  <c r="R28" i="2"/>
  <c r="Q28" i="2"/>
  <c r="G28" i="2"/>
  <c r="F28" i="2"/>
  <c r="E28" i="2"/>
  <c r="T27" i="2"/>
  <c r="R27" i="2"/>
  <c r="Q27" i="2"/>
  <c r="G27" i="2"/>
  <c r="F27" i="2"/>
  <c r="E27" i="2"/>
  <c r="T26" i="2"/>
  <c r="R26" i="2"/>
  <c r="Q26" i="2"/>
  <c r="G26" i="2"/>
  <c r="F26" i="2"/>
  <c r="E26" i="2"/>
  <c r="T25" i="2"/>
  <c r="R25" i="2"/>
  <c r="Q25" i="2"/>
  <c r="G25" i="2"/>
  <c r="F25" i="2"/>
  <c r="E25" i="2"/>
  <c r="T24" i="2"/>
  <c r="R24" i="2"/>
  <c r="Q24" i="2"/>
  <c r="G24" i="2"/>
  <c r="F24" i="2"/>
  <c r="E24" i="2"/>
  <c r="T23" i="2"/>
  <c r="R23" i="2"/>
  <c r="Q23" i="2"/>
  <c r="G23" i="2"/>
  <c r="F23" i="2"/>
  <c r="E23" i="2"/>
  <c r="T22" i="2"/>
  <c r="R22" i="2"/>
  <c r="Q22" i="2"/>
  <c r="G22" i="2"/>
  <c r="F22" i="2"/>
  <c r="E22" i="2"/>
  <c r="T21" i="2"/>
  <c r="R21" i="2"/>
  <c r="Q21" i="2"/>
  <c r="G21" i="2"/>
  <c r="F21" i="2"/>
  <c r="E21" i="2"/>
  <c r="T20" i="2"/>
  <c r="R20" i="2"/>
  <c r="Q20" i="2"/>
  <c r="G20" i="2"/>
  <c r="F20" i="2"/>
  <c r="E20" i="2"/>
  <c r="T19" i="2"/>
  <c r="R19" i="2"/>
  <c r="Q19" i="2"/>
  <c r="G19" i="2"/>
  <c r="F19" i="2"/>
  <c r="E19" i="2"/>
  <c r="T18" i="2"/>
  <c r="R18" i="2"/>
  <c r="Q18" i="2"/>
  <c r="G18" i="2"/>
  <c r="F18" i="2"/>
  <c r="E18" i="2"/>
  <c r="T17" i="2"/>
  <c r="R17" i="2"/>
  <c r="Q17" i="2"/>
  <c r="G17" i="2"/>
  <c r="F17" i="2"/>
  <c r="E17" i="2"/>
  <c r="T16" i="2"/>
  <c r="R16" i="2"/>
  <c r="Q16" i="2"/>
  <c r="G16" i="2"/>
  <c r="F16" i="2"/>
  <c r="E16" i="2"/>
  <c r="T15" i="2"/>
  <c r="R15" i="2"/>
  <c r="Q15" i="2"/>
  <c r="G15" i="2"/>
  <c r="F15" i="2"/>
  <c r="E15" i="2"/>
  <c r="T14" i="2"/>
  <c r="R14" i="2"/>
  <c r="Q14" i="2"/>
  <c r="G14" i="2"/>
  <c r="F14" i="2"/>
  <c r="E14" i="2"/>
  <c r="T13" i="2"/>
  <c r="R13" i="2"/>
  <c r="Q13" i="2"/>
  <c r="G13" i="2"/>
  <c r="F13" i="2"/>
  <c r="E13" i="2"/>
  <c r="T12" i="2"/>
  <c r="R12" i="2"/>
  <c r="Q12" i="2"/>
  <c r="G12" i="2"/>
  <c r="F12" i="2"/>
  <c r="E12" i="2"/>
  <c r="T11" i="2"/>
  <c r="R11" i="2"/>
  <c r="Q11" i="2"/>
  <c r="G11" i="2"/>
  <c r="F11" i="2"/>
  <c r="E11" i="2"/>
  <c r="T10" i="2"/>
  <c r="R10" i="2"/>
  <c r="Q10" i="2"/>
  <c r="G10" i="2"/>
  <c r="F10" i="2"/>
  <c r="E10" i="2"/>
  <c r="T9" i="2"/>
  <c r="R9" i="2"/>
  <c r="Q9" i="2"/>
  <c r="G9" i="2"/>
  <c r="F9" i="2"/>
  <c r="E9" i="2"/>
  <c r="T8" i="2"/>
  <c r="R8" i="2"/>
  <c r="Q8" i="2"/>
  <c r="G8" i="2"/>
  <c r="F8" i="2"/>
  <c r="E8" i="2"/>
  <c r="T7" i="2"/>
  <c r="R7" i="2"/>
  <c r="Q7" i="2"/>
  <c r="G7" i="2"/>
  <c r="F7" i="2"/>
  <c r="E7" i="2"/>
  <c r="T6" i="2"/>
  <c r="R6" i="2"/>
  <c r="Q6" i="2"/>
  <c r="G6" i="2"/>
  <c r="F6" i="2"/>
  <c r="E6" i="2"/>
  <c r="T5" i="2"/>
  <c r="R5" i="2"/>
  <c r="Q5" i="2"/>
  <c r="G5" i="2"/>
  <c r="F5" i="2"/>
  <c r="E5" i="2"/>
  <c r="T4" i="2"/>
  <c r="R4" i="2"/>
  <c r="Q4" i="2"/>
  <c r="G4" i="2"/>
  <c r="F4" i="2"/>
  <c r="E4" i="2"/>
  <c r="T3" i="2"/>
  <c r="R3" i="2"/>
  <c r="Q3" i="2"/>
  <c r="G3" i="2"/>
  <c r="F3" i="2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tc={8383D02D-76BD-4FE7-BA84-686C006C14B8}</author>
  </authors>
  <commentList>
    <comment ref="P6" authorId="0" shapeId="0" xr:uid="{8383D02D-76BD-4FE7-BA84-686C006C14B8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data is not feasible since covid is there on april 2020 so data comparision is non releveant</t>
      </text>
    </comment>
  </commentList>
</comments>
</file>

<file path=xl/sharedStrings.xml><?xml version="1.0" encoding="utf-8"?>
<sst xmlns="http://schemas.openxmlformats.org/spreadsheetml/2006/main" count="151" uniqueCount="144">
  <si>
    <t>Master Dataset — Monetary Policy Transmission to Gold Loans, Personal Loans &amp; Credit Card Outstanding</t>
  </si>
  <si>
    <t>Monthly panel, January 2021 - August 2026 (India)</t>
  </si>
  <si>
    <t>PURPOSE</t>
  </si>
  <si>
    <t>This workbook consolidates all monthly series needed for the paper on how RBI repo rate policy, global</t>
  </si>
  <si>
    <t>political risk, US Fed rates, industrial production and inflation affect Gold Loans, Personal Loans and</t>
  </si>
  <si>
    <t>Credit Card Outstanding in India.</t>
  </si>
  <si>
    <t>SHEETS IN THIS WORKBOOK</t>
  </si>
  <si>
    <t xml:space="preserve">  Master_Dataset       - all raw series aligned by month, ready for descriptive stats/VIF/ARDL</t>
  </si>
  <si>
    <t xml:space="preserve">  Model_Variable_Map   - which column feeds the baseline model, extension model, and robustness checks</t>
  </si>
  <si>
    <t xml:space="preserve">  Data_Sources         - exact source file and RBI/official reference for every column</t>
  </si>
  <si>
    <t xml:space="preserve">  Notes_and_Gaps       - documented gaps and the assumptions used to fill/leave them</t>
  </si>
  <si>
    <t>MODEL STRUCTURE (per steps_to_do_paper.docx)</t>
  </si>
  <si>
    <t xml:space="preserve">  Baseline model:      Dependent vars ~ Repo_t + FEDFUNDS + IIP_Index + CPI_Index</t>
  </si>
  <si>
    <t xml:space="preserve">  Extension model:     Baseline + India_GPR (global/geopolitical risk) + Repo_t1 (repo at t-1)</t>
  </si>
  <si>
    <t xml:space="preserve">  Robustness checks:   Replace Repo_t with Repo_t2 (repo at t-2)</t>
  </si>
  <si>
    <t>NEXT STEPS (per your workflow)</t>
  </si>
  <si>
    <t xml:space="preserve">  1. Descriptive statistics and trend graphs</t>
  </si>
  <si>
    <t xml:space="preserve">  2. Correlation matrix and VIF (multicollinearity check)</t>
  </si>
  <si>
    <t xml:space="preserve">  3. Unit root tests (ADF/PP) on each series</t>
  </si>
  <si>
    <t xml:space="preserve">  4. Estimate baseline ARDL, then extension model, then robustness checks</t>
  </si>
  <si>
    <t>Month</t>
  </si>
  <si>
    <t>Personal_Loans_Rs_Cr</t>
  </si>
  <si>
    <t>Credit_Card_Outstanding_Rs_Cr</t>
  </si>
  <si>
    <t>Gold_Loans_Rs_Cr</t>
  </si>
  <si>
    <t>Ln_Personal_Loans</t>
  </si>
  <si>
    <t>Ln_Credit_Card_Outstanding</t>
  </si>
  <si>
    <t>Ln_Gold_Loans</t>
  </si>
  <si>
    <t>Repo_t</t>
  </si>
  <si>
    <t>Repo_t1</t>
  </si>
  <si>
    <t>Repo_t2</t>
  </si>
  <si>
    <t>FEDFUNDS</t>
  </si>
  <si>
    <t>India_GPR</t>
  </si>
  <si>
    <t>CPI_Index</t>
  </si>
  <si>
    <t>CPI_YoY_pct</t>
  </si>
  <si>
    <t>IIP_Index</t>
  </si>
  <si>
    <t>IIP_YoY_pct</t>
  </si>
  <si>
    <t>Ln_IIP_Index</t>
  </si>
  <si>
    <t>Ln_CPI_Index</t>
  </si>
  <si>
    <t>Gold_Avg_Rs_per_10g</t>
  </si>
  <si>
    <t>Ln_Gold_Price</t>
  </si>
  <si>
    <t>Provisional_Flag</t>
  </si>
  <si>
    <t>Repo_Assumption_Flag</t>
  </si>
  <si>
    <t>Month (1st of month)</t>
  </si>
  <si>
    <t>Personal Loans outstanding, Rs Crore</t>
  </si>
  <si>
    <t>Credit Card Outstanding, Rs Crore</t>
  </si>
  <si>
    <t>Loans against Gold Jewellery, Rs Crore</t>
  </si>
  <si>
    <t>Natural log of Personal Loans</t>
  </si>
  <si>
    <t>Natural log of Credit Card Outstanding</t>
  </si>
  <si>
    <t>Natural log of Gold Loans</t>
  </si>
  <si>
    <t>RBI Repo Rate at month t, % p.a. (baseline regressor)</t>
  </si>
  <si>
    <t>RBI Repo Rate at month t-1, % p.a. (extension model)</t>
  </si>
  <si>
    <t>RBI Repo Rate at month t-2, % p.a. (robustness check)</t>
  </si>
  <si>
    <t>US Federal Funds Effective Rate, % p.a. (baseline regressor)</t>
  </si>
  <si>
    <t>India Geopolitical Risk Index (Caldara-Iacoviello style; extension regressor)</t>
  </si>
  <si>
    <t>CPI Combined (General), Base 2012=100 (baseline regressor)</t>
  </si>
  <si>
    <t>CPI YoY inflation, % (reference / alternative to CPI_Index)</t>
  </si>
  <si>
    <t>Index of Industrial Production, General, Base 2011-12=100 (baseline regressor)</t>
  </si>
  <si>
    <t>IIP YoY growth, % (reference / alternative to IIP_Index)</t>
  </si>
  <si>
    <t>Natural log of IIP Index</t>
  </si>
  <si>
    <t>Natural log of CPI Index</t>
  </si>
  <si>
    <t>Gold spot price, monthly average, Rs per 10 grams (control/extension)</t>
  </si>
  <si>
    <t>Natural log of Gold Price</t>
  </si>
  <si>
    <t>'Yes' if RBI marked underlying loan data provisional (*) for that month</t>
  </si>
  <si>
    <t>'Yes' if Repo_t/t1/t2 for that month was carried forward (no rate-change data available beyond source)</t>
  </si>
  <si>
    <t>Yes</t>
  </si>
  <si>
    <t>Model</t>
  </si>
  <si>
    <t>Dependent Variable(s)</t>
  </si>
  <si>
    <t>Regressors (Master_Dataset columns)</t>
  </si>
  <si>
    <t>Purpose</t>
  </si>
  <si>
    <t>Baseline ARDL</t>
  </si>
  <si>
    <t>Ln_Gold_Loans / Ln_Personal_Loans / Ln_Credit_Card_Outstanding (run separately per DV)</t>
  </si>
  <si>
    <t>Repo_t, FEDFUNDS, Ln_IIP_Index, Ln_CPI_Index</t>
  </si>
  <si>
    <t>Core monetary-policy transmission model</t>
  </si>
  <si>
    <t>Extension model</t>
  </si>
  <si>
    <t>Same as baseline</t>
  </si>
  <si>
    <t>Repo_t, Repo_t1, FEDFUNDS, Ln_IIP_Index, Ln_CPI_Index, India_GPR</t>
  </si>
  <si>
    <t>Adds global political-risk channel and one-month policy lag</t>
  </si>
  <si>
    <t>Robustness check 1</t>
  </si>
  <si>
    <t>Repo_t2 (replaces Repo_t), FEDFUNDS, Ln_IIP_Index, Ln_CPI_Index</t>
  </si>
  <si>
    <t>Tests whether results hold with repo lagged two months</t>
  </si>
  <si>
    <t>Robustness check 2 (optional)</t>
  </si>
  <si>
    <t>Repo_t, FEDFUNDS, Ln_IIP_Index, Ln_CPI_Index, Ln_Gold_Price</t>
  </si>
  <si>
    <t>Tests sensitivity to including gold price as a control (relevant mainly for Gold Loans DV)</t>
  </si>
  <si>
    <t>Column(s)</t>
  </si>
  <si>
    <t>Source file provided</t>
  </si>
  <si>
    <t>Original source / basis</t>
  </si>
  <si>
    <t>Coverage in source</t>
  </si>
  <si>
    <t>Personal_Loans_Rs_Cr, Credit_Card_Outstanding_Rs_Cr, Gold_Loans_Rs_Cr</t>
  </si>
  <si>
    <t>2021_to_2026_mid_data_req_cols.docx</t>
  </si>
  <si>
    <t>RBI Sectoral Deployment of Bank Credit (as compiled by user)</t>
  </si>
  <si>
    <t>Jan-2021 to Jun-2026</t>
  </si>
  <si>
    <t>Repo_t, Repo_t1, Repo_t2</t>
  </si>
  <si>
    <t>repo_t_and_t-1_and_t-2.xlsx (cross-checked against repo_data.xlsx effective-date table)</t>
  </si>
  <si>
    <t>RBI Monetary Policy Committee repo rate decisions</t>
  </si>
  <si>
    <t>Jan-2021 to Aug-2026 (Jun, Jul, Aug-2026 carried forward at 5.25%, per your instruction - see Notes_and_Gaps)</t>
  </si>
  <si>
    <t>FEDFUNDS.xlsx</t>
  </si>
  <si>
    <t>FRED (Federal Reserve Bank of St. Louis) - Federal Funds Effective Rate, Monthly, NSA</t>
  </si>
  <si>
    <t>Jan-2021 to Jul-2026 (full coverage)</t>
  </si>
  <si>
    <t>India_GPR_Data_1.xlsx, sheet 'India GPR (1985-2026)'</t>
  </si>
  <si>
    <t>India Geopolitical Risk Index (Caldara-Iacoviello methodology)</t>
  </si>
  <si>
    <t>CPI_Index, CPI_YoY_pct</t>
  </si>
  <si>
    <t>cpi_data_with_base_yr_2012.xlsx (Jan-2021 to Dec-2025) + cpi_508.xlsx (Jan-2026 to Jul-2026, chain-linked, see Notes_and_Gaps)</t>
  </si>
  <si>
    <t>MoSPI CPI Combined (General), Base 2012=100</t>
  </si>
  <si>
    <t>Jan-2021 to Jul-2026 (Aug-2026 not yet released, see Notes_and_Gaps)</t>
  </si>
  <si>
    <t>IIP_Index, IIP_YoY_pct</t>
  </si>
  <si>
    <t>index_for_industrial_production.xlsx + iip_2025_data.xlsx + iip_2026_data.xlsx (Mar-2025 and Apr-Jun 2026 chain-linked, see Notes_and_Gaps)</t>
  </si>
  <si>
    <t>MoSPI Index of Industrial Production, General, Base 2011-12=100</t>
  </si>
  <si>
    <t>Jan-2021 to Jun-2026, no gaps (Jul-Aug 2026 not yet released, see Notes_and_Gaps)</t>
  </si>
  <si>
    <t>gold_spot_prices_jan2021_to_aug2026.xlsx, sheet 'Monthly Averages'</t>
  </si>
  <si>
    <t>Daily gold spot closing prices (Ahmedabad), averaged monthly</t>
  </si>
  <si>
    <t>Jan-2021 to Aug-2026, no gaps (Aug-2026 is a partial month, see Notes_and_Gaps)</t>
  </si>
  <si>
    <t>Column</t>
  </si>
  <si>
    <t>Months affected</t>
  </si>
  <si>
    <t>Gap / issue</t>
  </si>
  <si>
    <t>How it was handled</t>
  </si>
  <si>
    <t>Repo_t / Repo_t1 / Repo_t2</t>
  </si>
  <si>
    <t>Jun-2026 to Aug-2026</t>
  </si>
  <si>
    <t>No RBI MPC rate change recorded after the 5-Dec-2025 cut to 5.25%; no newer repo source file was provided this round.</t>
  </si>
  <si>
    <t>Per your instruction, repo held at 5.25% (carried forward) for Jun, Jul and Aug 2026 across Repo_t/t1/t2. Flagged Repo_Assumption_Flag = 'Yes'. VERIFY against RBI MPC calendar before final submission.</t>
  </si>
  <si>
    <t>CPI_Index / CPI_YoY_pct</t>
  </si>
  <si>
    <t>Jan-2026 to Jul-2026 (RESOLVED using cpi_508.xlsx); Aug-2026 (still open)</t>
  </si>
  <si>
    <t>cpi_508.xlsx (MoSPI Combined CPI, Base 2024=100) covers Jan-Jul 2026 but uses a different base year than the Base-2012=100 series used elsewhere in this column.</t>
  </si>
  <si>
    <t>Jan-Jul 2026 filled by chain-linking: CPI_2012base(month) = CPI_2012base(same month, prior year) x (1 + YoY inflation % from cpi_508.xlsx). YoY% is base-invariant so this preserves consistency with the existing Base-2012 series. Aug-2026 CPI is not yet released (MoSPI ~1 month lag) - left blank, source once available.</t>
  </si>
  <si>
    <t>IIP_Index / IIP_YoY_pct</t>
  </si>
  <si>
    <t>Mar-2025 and Apr-Jun 2026 (RESOLVED using iip_2025_data.xlsx / iip_2026_data.xlsx); Jul-Aug 2026 (still open)</t>
  </si>
  <si>
    <t>iip_2025_data.xlsx and iip_2026_data.xlsx (MoSPI IIP General, Base 2022-23=100) use a different base year than the Base-2011-12=100 series used elsewhere in this column.</t>
  </si>
  <si>
    <t>Mar-2025 and Apr-Jun-2026 filled by chain-linking: IIP_2011-12base(month) = IIP_2011-12base(same month, prior year) x (1 + growth_rate % from the IIP source files). Jul-Aug 2026 IIP is not yet released (MoSPI ~6 week lag, source file only extends to Jun-2026) - left blank, source once available.</t>
  </si>
  <si>
    <t>Gold_Avg_Rs_per_10g / Ln_Gold_Price</t>
  </si>
  <si>
    <t>Jan-2021, Feb-2021 (RESOLVED); Aug-2026 is a PARTIAL month</t>
  </si>
  <si>
    <t>Earlier gold source file started Mar-2021. The updated file (gold_spot_prices_jan2021_to_aug2026.xlsx) starts Jan-2021 and extends to 14-Aug-2026.</t>
  </si>
  <si>
    <t>Jan-2021 (Rs 49,664.35) and Feb-2021 (Rs 47,141.55) monthly averages filled directly from the updated source. Jul-2026 (Rs 142,620.00) added as a full month. Aug-2026 (Rs 148,543.40) is based on only 10 trading days (through 14-Aug-2026) - flagged Provisional_Flag = "Yes"; re-average once the month closes.</t>
  </si>
  <si>
    <t>Provisional_Flag = 'Yes'</t>
  </si>
  <si>
    <t>Mar-2025 (loan data); Aug-2026 (gold price, partial month)</t>
  </si>
  <si>
    <t>Mar-2025: RBI marked underlying Personal Loans / Credit Card / Gold Loan figures provisional (asterisk in source). Aug-2026: gold monthly average is based on a partial month (10 of ~23 trading days).</t>
  </si>
  <si>
    <t>Mar-2025 loan values used as-is, re-check against RBI's final release. Aug-2026 gold average will change as more trading days are added during the month - re-run once August closes.</t>
  </si>
  <si>
    <t>Personal_Loans_Rs_Cr, Credit_Card_Outstanding_Rs_Cr, Gold_Loans_Rs_Cr, FEDFUNDS, India_GPR</t>
  </si>
  <si>
    <t>Jul-2026, Aug-2026</t>
  </si>
  <si>
    <t>No source file for RBI sectoral credit data, FRED Federal Funds rate, or India GPR index was provided in this update covering these months.</t>
  </si>
  <si>
    <t>Left blank (genuine gap - not estimated). Upload updated versions of the loan-data file, FEDFUNDS.xlsx and India_GPR file to extend these columns through Aug-2026.</t>
  </si>
  <si>
    <t>General</t>
  </si>
  <si>
    <t>All columns</t>
  </si>
  <si>
    <t>Units differ across regressors: loan variables in Rs Crore (logged for the model), Repo/FEDFUNDS in % p.a. (levels), CPI/IIP in index points (logged), India_GPR is a standardized index.</t>
  </si>
  <si>
    <t>This is intentional and standard for ARDL work - bounds testing does not require all variables in the same unit, only that none are I(2). Run unit-root tests (ADF/PP) per the workflow before estimation.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</si>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</sst>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000"/>
    <numFmt numFmtId="166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8"/>
      <color rgb="FF555555"/>
      <name val="Arial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.harithaganesha@outlook.com" id="{2C692E3B-39B1-4E2F-B542-2DC60716C09F}" userId="dc66d8afc6bb449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" dT="2026-08-15T01:59:46.03" personId="{2C692E3B-39B1-4E2F-B542-2DC60716C09F}" id="{8383D02D-76BD-4FE7-BA84-686C006C14B8}">
    <text>Here data is not feasible since covid is there on april 2020 so data comparision is non releveant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zoomScaleNormal="100" workbookViewId="0"/>
  </sheetViews>
  <sheetFormatPr defaultColWidth="8.6328125" defaultRowHeight="14.5" x14ac:dyDescent="0.35"/>
  <cols>
    <col min="1" max="1" width="105" customWidth="1"/>
  </cols>
  <sheetData>
    <row r="1" spans="1:1" ht="17.25" customHeight="1" x14ac:dyDescent="0.4">
      <c r="A1" s="1" t="s">
        <v>0</v>
      </c>
    </row>
    <row r="2" spans="1:1" ht="15" customHeight="1" x14ac:dyDescent="0.35">
      <c r="A2" s="2" t="s">
        <v>1</v>
      </c>
    </row>
    <row r="4" spans="1:1" ht="15" customHeight="1" x14ac:dyDescent="0.35">
      <c r="A4" s="2"/>
    </row>
    <row r="5" spans="1:1" ht="15" customHeight="1" x14ac:dyDescent="0.35">
      <c r="A5" s="3" t="s">
        <v>2</v>
      </c>
    </row>
    <row r="6" spans="1:1" ht="15" customHeight="1" x14ac:dyDescent="0.35">
      <c r="A6" s="2" t="s">
        <v>3</v>
      </c>
    </row>
    <row r="7" spans="1:1" ht="15" customHeight="1" x14ac:dyDescent="0.35">
      <c r="A7" s="2" t="s">
        <v>4</v>
      </c>
    </row>
    <row r="8" spans="1:1" ht="15" customHeight="1" x14ac:dyDescent="0.35">
      <c r="A8" s="2" t="s">
        <v>5</v>
      </c>
    </row>
    <row r="9" spans="1:1" ht="15" customHeight="1" x14ac:dyDescent="0.35">
      <c r="A9" s="2"/>
    </row>
    <row r="10" spans="1:1" ht="15" customHeight="1" x14ac:dyDescent="0.35">
      <c r="A10" s="3" t="s">
        <v>6</v>
      </c>
    </row>
    <row r="11" spans="1:1" ht="15" customHeight="1" x14ac:dyDescent="0.35">
      <c r="A11" s="2" t="s">
        <v>7</v>
      </c>
    </row>
    <row r="12" spans="1:1" ht="15" customHeight="1" x14ac:dyDescent="0.35">
      <c r="A12" s="2" t="s">
        <v>8</v>
      </c>
    </row>
    <row r="13" spans="1:1" ht="15" customHeight="1" x14ac:dyDescent="0.35">
      <c r="A13" s="2" t="s">
        <v>9</v>
      </c>
    </row>
    <row r="14" spans="1:1" ht="15" customHeight="1" x14ac:dyDescent="0.35">
      <c r="A14" s="2" t="s">
        <v>10</v>
      </c>
    </row>
    <row r="15" spans="1:1" ht="15" customHeight="1" x14ac:dyDescent="0.35">
      <c r="A15" s="2"/>
    </row>
    <row r="16" spans="1:1" ht="15" customHeight="1" x14ac:dyDescent="0.35">
      <c r="A16" s="2" t="s">
        <v>11</v>
      </c>
    </row>
    <row r="17" spans="1:1" ht="15" customHeight="1" x14ac:dyDescent="0.35">
      <c r="A17" s="2" t="s">
        <v>12</v>
      </c>
    </row>
    <row r="18" spans="1:1" ht="15" customHeight="1" x14ac:dyDescent="0.35">
      <c r="A18" s="2" t="s">
        <v>13</v>
      </c>
    </row>
    <row r="19" spans="1:1" ht="15" customHeight="1" x14ac:dyDescent="0.35">
      <c r="A19" s="2" t="s">
        <v>14</v>
      </c>
    </row>
    <row r="20" spans="1:1" ht="15" customHeight="1" x14ac:dyDescent="0.35">
      <c r="A20" s="2"/>
    </row>
    <row r="21" spans="1:1" ht="15" customHeight="1" x14ac:dyDescent="0.35">
      <c r="A21" s="2" t="s">
        <v>15</v>
      </c>
    </row>
    <row r="22" spans="1:1" ht="15" customHeight="1" x14ac:dyDescent="0.35">
      <c r="A22" s="2" t="s">
        <v>16</v>
      </c>
    </row>
    <row r="23" spans="1:1" ht="15" customHeight="1" x14ac:dyDescent="0.35">
      <c r="A23" s="2" t="s">
        <v>17</v>
      </c>
    </row>
    <row r="24" spans="1:1" ht="15" customHeight="1" x14ac:dyDescent="0.35">
      <c r="A24" s="2" t="s">
        <v>18</v>
      </c>
    </row>
    <row r="25" spans="1:1" ht="15" customHeight="1" x14ac:dyDescent="0.35">
      <c r="A25" s="2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0"/>
  <sheetViews>
    <sheetView tabSelected="1" topLeftCell="F1" zoomScaleNormal="100" workbookViewId="0">
      <pane ySplit="2" topLeftCell="A3" activePane="bottomLeft" state="frozen"/>
      <selection pane="bottomLeft" activeCell="P6" sqref="P6"/>
    </sheetView>
  </sheetViews>
  <sheetFormatPr defaultColWidth="8.6328125" defaultRowHeight="14.5" x14ac:dyDescent="0.35"/>
  <cols>
    <col min="1" max="1" width="11" customWidth="1"/>
    <col min="2" max="22" width="15" customWidth="1"/>
  </cols>
  <sheetData>
    <row r="1" spans="1:22" ht="39" customHeight="1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</row>
    <row r="2" spans="1:22" ht="45" customHeight="1" x14ac:dyDescent="0.3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63</v>
      </c>
    </row>
    <row r="3" spans="1:22" ht="15" customHeight="1" x14ac:dyDescent="0.35">
      <c r="A3" s="6">
        <v>44197</v>
      </c>
      <c r="B3" s="7">
        <v>2724415.26</v>
      </c>
      <c r="C3" s="7">
        <v>116361.39</v>
      </c>
      <c r="D3" s="7">
        <v>43140.52</v>
      </c>
      <c r="E3" s="8">
        <f t="shared" ref="E3:E34" si="0">IF(B3="","",LN(B3))</f>
        <v>14.817764379566912</v>
      </c>
      <c r="F3" s="8">
        <f t="shared" ref="F3:F34" si="1">IF(C3="","",LN(C3))</f>
        <v>11.664456058223591</v>
      </c>
      <c r="G3" s="8">
        <f t="shared" ref="G3:G34" si="2">IF(D3="","",LN(D3))</f>
        <v>10.672217973648896</v>
      </c>
      <c r="H3" s="9">
        <v>4</v>
      </c>
      <c r="I3" s="9">
        <v>4</v>
      </c>
      <c r="J3" s="9">
        <v>4</v>
      </c>
      <c r="K3" s="9">
        <v>0.09</v>
      </c>
      <c r="L3" s="8">
        <v>0.12379999999999999</v>
      </c>
      <c r="M3" s="10">
        <v>156.30000000000001</v>
      </c>
      <c r="N3" s="9">
        <v>4.0599999999999996</v>
      </c>
      <c r="O3" s="10">
        <v>136.6</v>
      </c>
      <c r="P3" s="9">
        <v>-0.6</v>
      </c>
      <c r="Q3" s="8">
        <f t="shared" ref="Q3:Q34" si="3">IF(O3="","",LN(O3))</f>
        <v>4.9170569471366896</v>
      </c>
      <c r="R3" s="8">
        <f t="shared" ref="R3:R34" si="4">IF(M3="","",LN(M3))</f>
        <v>5.051777237427431</v>
      </c>
      <c r="S3" s="11">
        <v>49664.35</v>
      </c>
      <c r="T3" s="8">
        <f t="shared" ref="T3:T34" si="5">IF(S3="","",LN(S3))</f>
        <v>10.813042650876305</v>
      </c>
    </row>
    <row r="4" spans="1:22" ht="15" customHeight="1" x14ac:dyDescent="0.35">
      <c r="A4" s="6">
        <v>44228</v>
      </c>
      <c r="B4" s="7">
        <v>2773925.59</v>
      </c>
      <c r="C4" s="7">
        <v>116290.43</v>
      </c>
      <c r="D4" s="7">
        <v>56262.87</v>
      </c>
      <c r="E4" s="8">
        <f t="shared" si="0"/>
        <v>14.835774055416392</v>
      </c>
      <c r="F4" s="8">
        <f t="shared" si="1"/>
        <v>11.663846047932672</v>
      </c>
      <c r="G4" s="8">
        <f t="shared" si="2"/>
        <v>10.937790093895938</v>
      </c>
      <c r="H4" s="9">
        <v>4</v>
      </c>
      <c r="I4" s="9">
        <v>4</v>
      </c>
      <c r="J4" s="9">
        <v>4</v>
      </c>
      <c r="K4" s="9">
        <v>0.08</v>
      </c>
      <c r="L4" s="8">
        <v>0.14019999999999999</v>
      </c>
      <c r="M4" s="10">
        <v>156.6</v>
      </c>
      <c r="N4" s="9">
        <v>5.03</v>
      </c>
      <c r="O4" s="10">
        <v>129.9</v>
      </c>
      <c r="P4" s="9">
        <v>-3.2</v>
      </c>
      <c r="Q4" s="8">
        <f t="shared" si="3"/>
        <v>4.8667649236765538</v>
      </c>
      <c r="R4" s="8">
        <f t="shared" si="4"/>
        <v>5.0536947835567023</v>
      </c>
      <c r="S4" s="11">
        <v>47141.55</v>
      </c>
      <c r="T4" s="8">
        <f t="shared" si="5"/>
        <v>10.760910056730214</v>
      </c>
    </row>
    <row r="5" spans="1:22" ht="15" customHeight="1" x14ac:dyDescent="0.35">
      <c r="A5" s="6">
        <v>44256</v>
      </c>
      <c r="B5" s="7">
        <v>2813513.1</v>
      </c>
      <c r="C5" s="7">
        <v>116536.59</v>
      </c>
      <c r="D5" s="7">
        <v>60464.02</v>
      </c>
      <c r="E5" s="8">
        <f t="shared" si="0"/>
        <v>14.849944473966898</v>
      </c>
      <c r="F5" s="8">
        <f t="shared" si="1"/>
        <v>11.665960579929175</v>
      </c>
      <c r="G5" s="8">
        <f t="shared" si="2"/>
        <v>11.009803756364553</v>
      </c>
      <c r="H5" s="9">
        <v>4</v>
      </c>
      <c r="I5" s="9">
        <v>4</v>
      </c>
      <c r="J5" s="9">
        <v>4</v>
      </c>
      <c r="K5" s="9">
        <v>7.0000000000000007E-2</v>
      </c>
      <c r="L5" s="8">
        <v>0.31440000000000001</v>
      </c>
      <c r="M5" s="10">
        <v>156.80000000000001</v>
      </c>
      <c r="N5" s="9">
        <v>5.52</v>
      </c>
      <c r="O5" s="10">
        <v>145.6</v>
      </c>
      <c r="P5" s="9">
        <v>24.2</v>
      </c>
      <c r="Q5" s="8">
        <f t="shared" si="3"/>
        <v>4.9808631357625854</v>
      </c>
      <c r="R5" s="8">
        <f t="shared" si="4"/>
        <v>5.0549711079163071</v>
      </c>
      <c r="S5" s="11">
        <v>44649.478260869597</v>
      </c>
      <c r="T5" s="8">
        <f t="shared" si="5"/>
        <v>10.706597901149467</v>
      </c>
    </row>
    <row r="6" spans="1:22" ht="15" customHeight="1" x14ac:dyDescent="0.35">
      <c r="A6" s="6">
        <v>44287</v>
      </c>
      <c r="B6" s="7">
        <v>2810419.49</v>
      </c>
      <c r="C6" s="7">
        <v>113565.75999999999</v>
      </c>
      <c r="D6" s="7">
        <v>62237.66</v>
      </c>
      <c r="E6" s="8">
        <f t="shared" si="0"/>
        <v>14.848844314865586</v>
      </c>
      <c r="F6" s="8">
        <f t="shared" si="1"/>
        <v>11.640137331385827</v>
      </c>
      <c r="G6" s="8">
        <f t="shared" si="2"/>
        <v>11.038715561744482</v>
      </c>
      <c r="H6" s="9">
        <v>4</v>
      </c>
      <c r="I6" s="9">
        <v>4</v>
      </c>
      <c r="J6" s="9">
        <v>4</v>
      </c>
      <c r="K6" s="9">
        <v>7.0000000000000007E-2</v>
      </c>
      <c r="L6" s="8">
        <v>0.18160000000000001</v>
      </c>
      <c r="M6" s="10">
        <v>157.80000000000001</v>
      </c>
      <c r="N6" s="9">
        <v>4.2300000000000004</v>
      </c>
      <c r="O6" s="10">
        <v>126.1</v>
      </c>
      <c r="P6" s="9" t="s">
        <v>143</v>
      </c>
      <c r="Q6" s="8">
        <f t="shared" si="3"/>
        <v>4.8370752429708741</v>
      </c>
      <c r="R6" s="8">
        <f t="shared" si="4"/>
        <v>5.0613284084117742</v>
      </c>
      <c r="S6" s="11">
        <v>46724.285714285703</v>
      </c>
      <c r="T6" s="8">
        <f t="shared" si="5"/>
        <v>10.752019345193235</v>
      </c>
    </row>
    <row r="7" spans="1:22" ht="15" customHeight="1" x14ac:dyDescent="0.35">
      <c r="A7" s="6">
        <v>44317</v>
      </c>
      <c r="B7" s="7">
        <v>2787265.09</v>
      </c>
      <c r="C7" s="7">
        <v>104474.62</v>
      </c>
      <c r="D7" s="7">
        <v>62101.120000000003</v>
      </c>
      <c r="E7" s="8">
        <f t="shared" si="0"/>
        <v>14.840571418553631</v>
      </c>
      <c r="F7" s="8">
        <f t="shared" si="1"/>
        <v>11.556699450075714</v>
      </c>
      <c r="G7" s="8">
        <f t="shared" si="2"/>
        <v>11.036519303185665</v>
      </c>
      <c r="H7" s="9">
        <v>4</v>
      </c>
      <c r="I7" s="9">
        <v>4</v>
      </c>
      <c r="J7" s="9">
        <v>4</v>
      </c>
      <c r="K7" s="9">
        <v>0.06</v>
      </c>
      <c r="L7" s="8">
        <v>0.309</v>
      </c>
      <c r="M7" s="10">
        <v>160.4</v>
      </c>
      <c r="N7" s="9">
        <v>6.3</v>
      </c>
      <c r="O7" s="10">
        <v>115.1</v>
      </c>
      <c r="P7" s="9">
        <v>27.6</v>
      </c>
      <c r="Q7" s="8">
        <f t="shared" si="3"/>
        <v>4.7458013157278369</v>
      </c>
      <c r="R7" s="8">
        <f t="shared" si="4"/>
        <v>5.0776706954324142</v>
      </c>
      <c r="S7" s="11">
        <v>47905.5</v>
      </c>
      <c r="T7" s="8">
        <f t="shared" si="5"/>
        <v>10.776985599354376</v>
      </c>
    </row>
    <row r="8" spans="1:22" ht="15" customHeight="1" x14ac:dyDescent="0.35">
      <c r="A8" s="6">
        <v>44348</v>
      </c>
      <c r="B8" s="7">
        <v>2786519.11</v>
      </c>
      <c r="C8" s="7">
        <v>102757.28</v>
      </c>
      <c r="D8" s="7">
        <v>62221.08</v>
      </c>
      <c r="E8" s="8">
        <f t="shared" si="0"/>
        <v>14.840303744033886</v>
      </c>
      <c r="F8" s="8">
        <f t="shared" si="1"/>
        <v>11.540124981430134</v>
      </c>
      <c r="G8" s="8">
        <f t="shared" si="2"/>
        <v>11.03844912806376</v>
      </c>
      <c r="H8" s="9">
        <v>4</v>
      </c>
      <c r="I8" s="9">
        <v>4</v>
      </c>
      <c r="J8" s="9">
        <v>4</v>
      </c>
      <c r="K8" s="9">
        <v>0.08</v>
      </c>
      <c r="L8" s="8">
        <v>0.1857</v>
      </c>
      <c r="M8" s="10">
        <v>161.30000000000001</v>
      </c>
      <c r="N8" s="9">
        <v>6.26</v>
      </c>
      <c r="O8" s="10">
        <v>122.8</v>
      </c>
      <c r="P8" s="9">
        <v>13.8</v>
      </c>
      <c r="Q8" s="8">
        <f t="shared" si="3"/>
        <v>4.8105570157130417</v>
      </c>
      <c r="R8" s="8">
        <f t="shared" si="4"/>
        <v>5.0832659851311632</v>
      </c>
      <c r="S8" s="11">
        <v>47902.9545454545</v>
      </c>
      <c r="T8" s="8">
        <f t="shared" si="5"/>
        <v>10.776932463030276</v>
      </c>
    </row>
    <row r="9" spans="1:22" ht="15" customHeight="1" x14ac:dyDescent="0.35">
      <c r="A9" s="6">
        <v>44378</v>
      </c>
      <c r="B9" s="7">
        <v>2858741.27</v>
      </c>
      <c r="C9" s="7">
        <v>111322.94</v>
      </c>
      <c r="D9" s="7">
        <v>62412.26</v>
      </c>
      <c r="E9" s="8">
        <f t="shared" si="0"/>
        <v>14.865891970532218</v>
      </c>
      <c r="F9" s="8">
        <f t="shared" si="1"/>
        <v>11.620190625639625</v>
      </c>
      <c r="G9" s="8">
        <f t="shared" si="2"/>
        <v>11.041517009417934</v>
      </c>
      <c r="H9" s="9">
        <v>4</v>
      </c>
      <c r="I9" s="9">
        <v>4</v>
      </c>
      <c r="J9" s="9">
        <v>4</v>
      </c>
      <c r="K9" s="9">
        <v>0.1</v>
      </c>
      <c r="L9" s="8">
        <v>0.17030000000000001</v>
      </c>
      <c r="M9" s="10">
        <v>162.5</v>
      </c>
      <c r="N9" s="9">
        <v>5.59</v>
      </c>
      <c r="O9" s="10">
        <v>131.5</v>
      </c>
      <c r="P9" s="9">
        <v>11.5</v>
      </c>
      <c r="Q9" s="8">
        <f t="shared" si="3"/>
        <v>4.8790068516178193</v>
      </c>
      <c r="R9" s="8">
        <f t="shared" si="4"/>
        <v>5.0906780017697919</v>
      </c>
      <c r="S9" s="11">
        <v>47780.523809523802</v>
      </c>
      <c r="T9" s="8">
        <f t="shared" si="5"/>
        <v>10.774373383764953</v>
      </c>
    </row>
    <row r="10" spans="1:22" ht="15" customHeight="1" x14ac:dyDescent="0.35">
      <c r="A10" s="6">
        <v>44409</v>
      </c>
      <c r="B10" s="7">
        <v>2893912.74</v>
      </c>
      <c r="C10" s="7">
        <v>115612</v>
      </c>
      <c r="D10" s="7">
        <v>62926.04</v>
      </c>
      <c r="E10" s="8">
        <f t="shared" si="0"/>
        <v>14.878120033680284</v>
      </c>
      <c r="F10" s="8">
        <f t="shared" si="1"/>
        <v>11.657995036061294</v>
      </c>
      <c r="G10" s="8">
        <f t="shared" si="2"/>
        <v>11.049715347479173</v>
      </c>
      <c r="H10" s="9">
        <v>4</v>
      </c>
      <c r="I10" s="9">
        <v>4</v>
      </c>
      <c r="J10" s="9">
        <v>4</v>
      </c>
      <c r="K10" s="9">
        <v>0.09</v>
      </c>
      <c r="L10" s="8">
        <v>0.14480000000000001</v>
      </c>
      <c r="M10" s="10">
        <v>162.9</v>
      </c>
      <c r="N10" s="9">
        <v>5.3</v>
      </c>
      <c r="O10" s="10">
        <v>132.4</v>
      </c>
      <c r="P10" s="9">
        <v>13</v>
      </c>
      <c r="Q10" s="8">
        <f t="shared" si="3"/>
        <v>4.8858276435029078</v>
      </c>
      <c r="R10" s="8">
        <f t="shared" si="4"/>
        <v>5.0931365156079993</v>
      </c>
      <c r="S10" s="11">
        <v>47095.952380952403</v>
      </c>
      <c r="T10" s="8">
        <f t="shared" si="5"/>
        <v>10.759942339601599</v>
      </c>
    </row>
    <row r="11" spans="1:22" ht="15" customHeight="1" x14ac:dyDescent="0.35">
      <c r="A11" s="6">
        <v>44440</v>
      </c>
      <c r="B11" s="7">
        <v>2918538.19</v>
      </c>
      <c r="C11" s="7">
        <v>115640.5</v>
      </c>
      <c r="D11" s="7">
        <v>63769.57</v>
      </c>
      <c r="E11" s="8">
        <f t="shared" si="0"/>
        <v>14.886593429029489</v>
      </c>
      <c r="F11" s="8">
        <f t="shared" si="1"/>
        <v>11.658241519884339</v>
      </c>
      <c r="G11" s="8">
        <f t="shared" si="2"/>
        <v>11.063031396303989</v>
      </c>
      <c r="H11" s="9">
        <v>4</v>
      </c>
      <c r="I11" s="9">
        <v>4</v>
      </c>
      <c r="J11" s="9">
        <v>4</v>
      </c>
      <c r="K11" s="9">
        <v>0.08</v>
      </c>
      <c r="L11" s="8">
        <v>0.43070000000000003</v>
      </c>
      <c r="M11" s="10">
        <v>163.19999999999999</v>
      </c>
      <c r="N11" s="9">
        <v>4.3499999999999996</v>
      </c>
      <c r="O11" s="10">
        <v>129.5</v>
      </c>
      <c r="P11" s="9">
        <v>4.4000000000000004</v>
      </c>
      <c r="Q11" s="8">
        <f t="shared" si="3"/>
        <v>4.8636808811395928</v>
      </c>
      <c r="R11" s="8">
        <f t="shared" si="4"/>
        <v>5.0949764425300064</v>
      </c>
      <c r="S11" s="11">
        <v>46574.380952380998</v>
      </c>
      <c r="T11" s="8">
        <f t="shared" si="5"/>
        <v>10.748805903967201</v>
      </c>
    </row>
    <row r="12" spans="1:22" ht="15" customHeight="1" x14ac:dyDescent="0.35">
      <c r="A12" s="6">
        <v>44470</v>
      </c>
      <c r="B12" s="7">
        <v>2955599.27</v>
      </c>
      <c r="C12" s="7">
        <v>123311.55</v>
      </c>
      <c r="D12" s="7">
        <v>65361.2</v>
      </c>
      <c r="E12" s="8">
        <f t="shared" si="0"/>
        <v>14.899211986907831</v>
      </c>
      <c r="F12" s="8">
        <f t="shared" si="1"/>
        <v>11.722469358731241</v>
      </c>
      <c r="G12" s="8">
        <f t="shared" si="2"/>
        <v>11.087684089218465</v>
      </c>
      <c r="H12" s="9">
        <v>4</v>
      </c>
      <c r="I12" s="9">
        <v>4</v>
      </c>
      <c r="J12" s="9">
        <v>4</v>
      </c>
      <c r="K12" s="9">
        <v>0.08</v>
      </c>
      <c r="L12" s="8">
        <v>0.25540000000000002</v>
      </c>
      <c r="M12" s="10">
        <v>165.5</v>
      </c>
      <c r="N12" s="9">
        <v>4.4800000000000004</v>
      </c>
      <c r="O12" s="10">
        <v>135</v>
      </c>
      <c r="P12" s="9">
        <v>4.2</v>
      </c>
      <c r="Q12" s="8">
        <f t="shared" si="3"/>
        <v>4.9052747784384296</v>
      </c>
      <c r="R12" s="8">
        <f t="shared" si="4"/>
        <v>5.1089711948171175</v>
      </c>
      <c r="S12" s="11">
        <v>47219.25</v>
      </c>
      <c r="T12" s="8">
        <f t="shared" si="5"/>
        <v>10.762556927412986</v>
      </c>
    </row>
    <row r="13" spans="1:22" ht="15" customHeight="1" x14ac:dyDescent="0.35">
      <c r="A13" s="6">
        <v>44501</v>
      </c>
      <c r="B13" s="7">
        <v>2985430.16</v>
      </c>
      <c r="C13" s="7">
        <v>122110.96</v>
      </c>
      <c r="D13" s="7">
        <v>65629.77</v>
      </c>
      <c r="E13" s="8">
        <f t="shared" si="0"/>
        <v>14.909254401629074</v>
      </c>
      <c r="F13" s="8">
        <f t="shared" si="1"/>
        <v>11.712685418560147</v>
      </c>
      <c r="G13" s="8">
        <f t="shared" si="2"/>
        <v>11.091784682966733</v>
      </c>
      <c r="H13" s="9">
        <v>4</v>
      </c>
      <c r="I13" s="9">
        <v>4</v>
      </c>
      <c r="J13" s="9">
        <v>4</v>
      </c>
      <c r="K13" s="9">
        <v>0.08</v>
      </c>
      <c r="L13" s="8">
        <v>0.15640000000000001</v>
      </c>
      <c r="M13" s="10">
        <v>166.7</v>
      </c>
      <c r="N13" s="9">
        <v>4.91</v>
      </c>
      <c r="O13" s="10">
        <v>128</v>
      </c>
      <c r="P13" s="9">
        <v>1</v>
      </c>
      <c r="Q13" s="8">
        <f t="shared" si="3"/>
        <v>4.8520302639196169</v>
      </c>
      <c r="R13" s="8">
        <f t="shared" si="4"/>
        <v>5.1161957897567483</v>
      </c>
      <c r="S13" s="11">
        <v>48206.0952380952</v>
      </c>
      <c r="T13" s="8">
        <f t="shared" si="5"/>
        <v>10.783240749265543</v>
      </c>
    </row>
    <row r="14" spans="1:22" ht="15" customHeight="1" x14ac:dyDescent="0.35">
      <c r="A14" s="6">
        <v>44531</v>
      </c>
      <c r="B14" s="7">
        <v>3087844.6</v>
      </c>
      <c r="C14" s="7">
        <v>124742.7</v>
      </c>
      <c r="D14" s="7">
        <v>70870.649999999994</v>
      </c>
      <c r="E14" s="8">
        <f t="shared" si="0"/>
        <v>14.942983865026321</v>
      </c>
      <c r="F14" s="8">
        <f t="shared" si="1"/>
        <v>11.734008494867508</v>
      </c>
      <c r="G14" s="8">
        <f t="shared" si="2"/>
        <v>11.168611663485114</v>
      </c>
      <c r="H14" s="9">
        <v>4</v>
      </c>
      <c r="I14" s="9">
        <v>4</v>
      </c>
      <c r="J14" s="9">
        <v>4</v>
      </c>
      <c r="K14" s="9">
        <v>0.08</v>
      </c>
      <c r="L14" s="8">
        <v>0.14810000000000001</v>
      </c>
      <c r="M14" s="10">
        <v>166.2</v>
      </c>
      <c r="N14" s="9">
        <v>5.66</v>
      </c>
      <c r="O14" s="10">
        <v>138.80000000000001</v>
      </c>
      <c r="P14" s="9">
        <v>1</v>
      </c>
      <c r="Q14" s="8">
        <f t="shared" si="3"/>
        <v>4.9330340480727042</v>
      </c>
      <c r="R14" s="8">
        <f t="shared" si="4"/>
        <v>5.113191882421348</v>
      </c>
      <c r="S14" s="11">
        <v>47900.173913043502</v>
      </c>
      <c r="T14" s="8">
        <f t="shared" si="5"/>
        <v>10.77687441414489</v>
      </c>
    </row>
    <row r="15" spans="1:22" ht="15" customHeight="1" x14ac:dyDescent="0.35">
      <c r="A15" s="6">
        <v>44562</v>
      </c>
      <c r="B15" s="7">
        <v>2622781.52</v>
      </c>
      <c r="C15" s="7">
        <v>120905.49</v>
      </c>
      <c r="D15" s="7">
        <v>31726.01</v>
      </c>
      <c r="E15" s="8">
        <f t="shared" si="0"/>
        <v>14.779745961441639</v>
      </c>
      <c r="F15" s="8">
        <f t="shared" si="1"/>
        <v>11.702764445001188</v>
      </c>
      <c r="G15" s="8">
        <f t="shared" si="2"/>
        <v>10.364892128167241</v>
      </c>
      <c r="H15" s="9">
        <v>4</v>
      </c>
      <c r="I15" s="9">
        <v>4</v>
      </c>
      <c r="J15" s="9">
        <v>4</v>
      </c>
      <c r="K15" s="9">
        <v>0.08</v>
      </c>
      <c r="L15" s="8">
        <v>0.21820000000000001</v>
      </c>
      <c r="M15" s="10">
        <v>165.7</v>
      </c>
      <c r="N15" s="9">
        <v>6.01</v>
      </c>
      <c r="O15" s="10">
        <v>139.30000000000001</v>
      </c>
      <c r="P15" s="9">
        <v>2</v>
      </c>
      <c r="Q15" s="8">
        <f t="shared" si="3"/>
        <v>4.9366298807857598</v>
      </c>
      <c r="R15" s="8">
        <f t="shared" si="4"/>
        <v>5.1101789244325175</v>
      </c>
      <c r="S15" s="11">
        <v>47983.45</v>
      </c>
      <c r="T15" s="8">
        <f t="shared" si="5"/>
        <v>10.778611438769047</v>
      </c>
    </row>
    <row r="16" spans="1:22" ht="15" customHeight="1" x14ac:dyDescent="0.35">
      <c r="A16" s="6">
        <v>44593</v>
      </c>
      <c r="B16" s="7">
        <v>2685964.34</v>
      </c>
      <c r="C16" s="7">
        <v>122774.87</v>
      </c>
      <c r="D16" s="7">
        <v>32174.73</v>
      </c>
      <c r="E16" s="8">
        <f t="shared" si="0"/>
        <v>14.803550379729982</v>
      </c>
      <c r="F16" s="8">
        <f t="shared" si="1"/>
        <v>11.7181076320594</v>
      </c>
      <c r="G16" s="8">
        <f t="shared" si="2"/>
        <v>10.378936640820726</v>
      </c>
      <c r="H16" s="9">
        <v>4</v>
      </c>
      <c r="I16" s="9">
        <v>4</v>
      </c>
      <c r="J16" s="9">
        <v>4</v>
      </c>
      <c r="K16" s="9">
        <v>0.08</v>
      </c>
      <c r="L16" s="8">
        <v>0.1711</v>
      </c>
      <c r="M16" s="10">
        <v>166.1</v>
      </c>
      <c r="N16" s="9">
        <v>6.07</v>
      </c>
      <c r="O16" s="10">
        <v>131.4</v>
      </c>
      <c r="P16" s="9">
        <v>1.2</v>
      </c>
      <c r="Q16" s="8">
        <f t="shared" si="3"/>
        <v>4.8782461060505105</v>
      </c>
      <c r="R16" s="8">
        <f t="shared" si="4"/>
        <v>5.1125900166192491</v>
      </c>
      <c r="S16" s="11">
        <v>49279.45</v>
      </c>
      <c r="T16" s="8">
        <f t="shared" si="5"/>
        <v>10.805262437430834</v>
      </c>
    </row>
    <row r="17" spans="1:20" ht="15" customHeight="1" x14ac:dyDescent="0.35">
      <c r="A17" s="6">
        <v>44621</v>
      </c>
      <c r="B17" s="7">
        <v>2712688.38</v>
      </c>
      <c r="C17" s="7">
        <v>119914.21</v>
      </c>
      <c r="D17" s="7">
        <v>33802.26</v>
      </c>
      <c r="E17" s="8">
        <f t="shared" si="0"/>
        <v>14.813450723267319</v>
      </c>
      <c r="F17" s="8">
        <f t="shared" si="1"/>
        <v>11.694531849422731</v>
      </c>
      <c r="G17" s="8">
        <f t="shared" si="2"/>
        <v>10.428282943141145</v>
      </c>
      <c r="H17" s="9">
        <v>4</v>
      </c>
      <c r="I17" s="9">
        <v>4</v>
      </c>
      <c r="J17" s="9">
        <v>4</v>
      </c>
      <c r="K17" s="9">
        <v>0.2</v>
      </c>
      <c r="L17" s="8">
        <v>0.46700000000000003</v>
      </c>
      <c r="M17" s="10">
        <v>167.7</v>
      </c>
      <c r="N17" s="9">
        <v>6.95</v>
      </c>
      <c r="O17" s="10">
        <v>148.80000000000001</v>
      </c>
      <c r="P17" s="9">
        <v>2.2000000000000002</v>
      </c>
      <c r="Q17" s="8">
        <f t="shared" si="3"/>
        <v>5.002603122398992</v>
      </c>
      <c r="R17" s="8">
        <f t="shared" si="4"/>
        <v>5.1221766688291632</v>
      </c>
      <c r="S17" s="11">
        <v>51672.391304347802</v>
      </c>
      <c r="T17" s="8">
        <f t="shared" si="5"/>
        <v>10.852678900534459</v>
      </c>
    </row>
    <row r="18" spans="1:20" ht="15" customHeight="1" x14ac:dyDescent="0.35">
      <c r="A18" s="6">
        <v>44652</v>
      </c>
      <c r="B18" s="7">
        <v>2678181.04</v>
      </c>
      <c r="C18" s="7">
        <v>108096.43</v>
      </c>
      <c r="D18" s="7">
        <v>33374.379999999997</v>
      </c>
      <c r="E18" s="8">
        <f t="shared" si="0"/>
        <v>14.800648405636869</v>
      </c>
      <c r="F18" s="8">
        <f t="shared" si="1"/>
        <v>11.590778978105091</v>
      </c>
      <c r="G18" s="8">
        <f t="shared" si="2"/>
        <v>10.415543818750974</v>
      </c>
      <c r="H18" s="9">
        <v>4</v>
      </c>
      <c r="I18" s="9">
        <v>4</v>
      </c>
      <c r="J18" s="9">
        <v>4</v>
      </c>
      <c r="K18" s="9">
        <v>0.33</v>
      </c>
      <c r="L18" s="8">
        <v>0.41410000000000002</v>
      </c>
      <c r="M18" s="10">
        <v>170.1</v>
      </c>
      <c r="N18" s="9">
        <v>7.79</v>
      </c>
      <c r="O18" s="10">
        <v>134.5</v>
      </c>
      <c r="P18" s="9">
        <v>6.7</v>
      </c>
      <c r="Q18" s="8">
        <f t="shared" si="3"/>
        <v>4.9015641990418937</v>
      </c>
      <c r="R18" s="8">
        <f t="shared" si="4"/>
        <v>5.1363864994018158</v>
      </c>
      <c r="S18" s="11">
        <v>52057.9</v>
      </c>
      <c r="T18" s="8">
        <f t="shared" si="5"/>
        <v>10.860111839663498</v>
      </c>
    </row>
    <row r="19" spans="1:20" ht="15" customHeight="1" x14ac:dyDescent="0.35">
      <c r="A19" s="6">
        <v>44682</v>
      </c>
      <c r="B19" s="7">
        <v>2642260.17</v>
      </c>
      <c r="C19" s="7">
        <v>103697.49</v>
      </c>
      <c r="D19" s="7">
        <v>33621.14</v>
      </c>
      <c r="E19" s="8">
        <f t="shared" si="0"/>
        <v>14.787145233856522</v>
      </c>
      <c r="F19" s="8">
        <f t="shared" si="1"/>
        <v>11.549233189488813</v>
      </c>
      <c r="G19" s="8">
        <f t="shared" si="2"/>
        <v>10.422910314775594</v>
      </c>
      <c r="H19" s="9">
        <v>4.4000000000000004</v>
      </c>
      <c r="I19" s="9">
        <v>4</v>
      </c>
      <c r="J19" s="9">
        <v>4</v>
      </c>
      <c r="K19" s="9">
        <v>0.77</v>
      </c>
      <c r="L19" s="8">
        <v>0.35089999999999999</v>
      </c>
      <c r="M19" s="10">
        <v>171.7</v>
      </c>
      <c r="N19" s="9">
        <v>7.04</v>
      </c>
      <c r="O19" s="10">
        <v>137.80000000000001</v>
      </c>
      <c r="P19" s="9">
        <v>19.7</v>
      </c>
      <c r="Q19" s="8">
        <f t="shared" si="3"/>
        <v>4.9258033585795582</v>
      </c>
      <c r="R19" s="8">
        <f t="shared" si="4"/>
        <v>5.1457487679034299</v>
      </c>
      <c r="S19" s="11">
        <v>50887.272727272699</v>
      </c>
      <c r="T19" s="8">
        <f t="shared" si="5"/>
        <v>10.837368126621406</v>
      </c>
    </row>
    <row r="20" spans="1:20" ht="15" customHeight="1" x14ac:dyDescent="0.35">
      <c r="A20" s="6">
        <v>44713</v>
      </c>
      <c r="B20" s="7">
        <v>2655680.33</v>
      </c>
      <c r="C20" s="7">
        <v>108672.19</v>
      </c>
      <c r="D20" s="7">
        <v>35226.86</v>
      </c>
      <c r="E20" s="8">
        <f t="shared" si="0"/>
        <v>14.792211424654171</v>
      </c>
      <c r="F20" s="8">
        <f t="shared" si="1"/>
        <v>11.596091198609884</v>
      </c>
      <c r="G20" s="8">
        <f t="shared" si="2"/>
        <v>10.469564138779502</v>
      </c>
      <c r="H20" s="9">
        <v>4.9000000000000004</v>
      </c>
      <c r="I20" s="9">
        <v>4.4000000000000004</v>
      </c>
      <c r="J20" s="9">
        <v>4</v>
      </c>
      <c r="K20" s="9">
        <v>1.21</v>
      </c>
      <c r="L20" s="8">
        <v>0.37669999999999998</v>
      </c>
      <c r="M20" s="10">
        <v>172.6</v>
      </c>
      <c r="N20" s="9">
        <v>7.01</v>
      </c>
      <c r="O20" s="10">
        <v>138.30000000000001</v>
      </c>
      <c r="P20" s="9">
        <v>12.6</v>
      </c>
      <c r="Q20" s="8">
        <f t="shared" si="3"/>
        <v>4.9294252386707127</v>
      </c>
      <c r="R20" s="8">
        <f t="shared" si="4"/>
        <v>5.1509767786493272</v>
      </c>
      <c r="S20" s="11">
        <v>50808.863636363603</v>
      </c>
      <c r="T20" s="8">
        <f t="shared" si="5"/>
        <v>10.835826099377309</v>
      </c>
    </row>
    <row r="21" spans="1:20" ht="15" customHeight="1" x14ac:dyDescent="0.35">
      <c r="A21" s="6">
        <v>44743</v>
      </c>
      <c r="B21" s="7">
        <v>2701387.01</v>
      </c>
      <c r="C21" s="7">
        <v>112967.52</v>
      </c>
      <c r="D21" s="7">
        <v>38628.550000000003</v>
      </c>
      <c r="E21" s="8">
        <f t="shared" si="0"/>
        <v>14.809275906479485</v>
      </c>
      <c r="F21" s="8">
        <f t="shared" si="1"/>
        <v>11.634855622749196</v>
      </c>
      <c r="G21" s="8">
        <f t="shared" si="2"/>
        <v>10.561746919361751</v>
      </c>
      <c r="H21" s="9">
        <v>4.9000000000000004</v>
      </c>
      <c r="I21" s="9">
        <v>4.9000000000000004</v>
      </c>
      <c r="J21" s="9">
        <v>4.4000000000000004</v>
      </c>
      <c r="K21" s="9">
        <v>1.68</v>
      </c>
      <c r="L21" s="8">
        <v>0.27300000000000002</v>
      </c>
      <c r="M21" s="10">
        <v>173.4</v>
      </c>
      <c r="N21" s="9">
        <v>6.71</v>
      </c>
      <c r="O21" s="10">
        <v>134.4</v>
      </c>
      <c r="P21" s="9">
        <v>2.2000000000000002</v>
      </c>
      <c r="Q21" s="8">
        <f t="shared" si="3"/>
        <v>4.9008204280890491</v>
      </c>
      <c r="R21" s="8">
        <f t="shared" si="4"/>
        <v>5.1556010643464418</v>
      </c>
      <c r="S21" s="11">
        <v>50753</v>
      </c>
      <c r="T21" s="8">
        <f t="shared" si="5"/>
        <v>10.834726008457404</v>
      </c>
    </row>
    <row r="22" spans="1:20" ht="15" customHeight="1" x14ac:dyDescent="0.35">
      <c r="A22" s="6">
        <v>44774</v>
      </c>
      <c r="B22" s="7">
        <v>2706439.1</v>
      </c>
      <c r="C22" s="7">
        <v>116875.93</v>
      </c>
      <c r="D22" s="7">
        <v>41812.14</v>
      </c>
      <c r="E22" s="8">
        <f t="shared" si="0"/>
        <v>14.811144343580457</v>
      </c>
      <c r="F22" s="8">
        <f t="shared" si="1"/>
        <v>11.668868223778581</v>
      </c>
      <c r="G22" s="8">
        <f t="shared" si="2"/>
        <v>10.640942006968048</v>
      </c>
      <c r="H22" s="9">
        <v>5.4</v>
      </c>
      <c r="I22" s="9">
        <v>4.9000000000000004</v>
      </c>
      <c r="J22" s="9">
        <v>4.9000000000000004</v>
      </c>
      <c r="K22" s="9">
        <v>2.33</v>
      </c>
      <c r="L22" s="8">
        <v>0.2487</v>
      </c>
      <c r="M22" s="10">
        <v>174.3</v>
      </c>
      <c r="N22" s="9">
        <v>7</v>
      </c>
      <c r="O22" s="10">
        <v>131.5</v>
      </c>
      <c r="P22" s="9">
        <v>-0.7</v>
      </c>
      <c r="Q22" s="8">
        <f t="shared" si="3"/>
        <v>4.8790068516178193</v>
      </c>
      <c r="R22" s="8">
        <f t="shared" si="4"/>
        <v>5.1607779525259749</v>
      </c>
      <c r="S22" s="11">
        <v>51635.090909090897</v>
      </c>
      <c r="T22" s="8">
        <f t="shared" si="5"/>
        <v>10.851956776713829</v>
      </c>
    </row>
    <row r="23" spans="1:20" ht="15" customHeight="1" x14ac:dyDescent="0.35">
      <c r="A23" s="6">
        <v>44805</v>
      </c>
      <c r="B23" s="7">
        <v>2735273.4</v>
      </c>
      <c r="C23" s="7">
        <v>118161.34</v>
      </c>
      <c r="D23" s="7">
        <v>46700.66</v>
      </c>
      <c r="E23" s="8">
        <f t="shared" si="0"/>
        <v>14.821741952279137</v>
      </c>
      <c r="F23" s="8">
        <f t="shared" si="1"/>
        <v>11.679806257696137</v>
      </c>
      <c r="G23" s="8">
        <f t="shared" si="2"/>
        <v>10.751513576319434</v>
      </c>
      <c r="H23" s="9">
        <v>5.9</v>
      </c>
      <c r="I23" s="9">
        <v>5.4</v>
      </c>
      <c r="J23" s="9">
        <v>4.9000000000000004</v>
      </c>
      <c r="K23" s="9">
        <v>2.56</v>
      </c>
      <c r="L23" s="8">
        <v>0.50660000000000005</v>
      </c>
      <c r="M23" s="10">
        <v>175.3</v>
      </c>
      <c r="N23" s="9">
        <v>7.41</v>
      </c>
      <c r="O23" s="10">
        <v>133.80000000000001</v>
      </c>
      <c r="P23" s="9">
        <v>3.3</v>
      </c>
      <c r="Q23" s="8">
        <f t="shared" si="3"/>
        <v>4.8963461476941283</v>
      </c>
      <c r="R23" s="8">
        <f t="shared" si="4"/>
        <v>5.1664987919271885</v>
      </c>
      <c r="S23" s="11">
        <v>49957.0454545455</v>
      </c>
      <c r="T23" s="8">
        <f t="shared" si="5"/>
        <v>10.818918824271115</v>
      </c>
    </row>
    <row r="24" spans="1:20" ht="15" customHeight="1" x14ac:dyDescent="0.35">
      <c r="A24" s="6">
        <v>44835</v>
      </c>
      <c r="B24" s="7">
        <v>2785396.81</v>
      </c>
      <c r="C24" s="7">
        <v>123174.46</v>
      </c>
      <c r="D24" s="7">
        <v>52842.98</v>
      </c>
      <c r="E24" s="8">
        <f t="shared" si="0"/>
        <v>14.839900902343059</v>
      </c>
      <c r="F24" s="8">
        <f t="shared" si="1"/>
        <v>11.72135700339606</v>
      </c>
      <c r="G24" s="8">
        <f t="shared" si="2"/>
        <v>10.875080153715219</v>
      </c>
      <c r="H24" s="9">
        <v>5.9</v>
      </c>
      <c r="I24" s="9">
        <v>5.9</v>
      </c>
      <c r="J24" s="9">
        <v>5.4</v>
      </c>
      <c r="K24" s="9">
        <v>3.08</v>
      </c>
      <c r="L24" s="8">
        <v>0.30669999999999997</v>
      </c>
      <c r="M24" s="10">
        <v>176.7</v>
      </c>
      <c r="N24" s="9">
        <v>6.77</v>
      </c>
      <c r="O24" s="10">
        <v>129.5</v>
      </c>
      <c r="P24" s="9">
        <v>-4.0999999999999996</v>
      </c>
      <c r="Q24" s="8">
        <f t="shared" si="3"/>
        <v>4.8636808811395928</v>
      </c>
      <c r="R24" s="8">
        <f t="shared" si="4"/>
        <v>5.1744533793256506</v>
      </c>
      <c r="S24" s="11">
        <v>50372.523809523802</v>
      </c>
      <c r="T24" s="8">
        <f t="shared" si="5"/>
        <v>10.8272011428949</v>
      </c>
    </row>
    <row r="25" spans="1:20" ht="15" customHeight="1" x14ac:dyDescent="0.35">
      <c r="A25" s="6">
        <v>44866</v>
      </c>
      <c r="B25" s="7">
        <v>2819694.01</v>
      </c>
      <c r="C25" s="7">
        <v>127682.73</v>
      </c>
      <c r="D25" s="7">
        <v>57423.31</v>
      </c>
      <c r="E25" s="8">
        <f t="shared" si="0"/>
        <v>14.852138929934778</v>
      </c>
      <c r="F25" s="8">
        <f t="shared" si="1"/>
        <v>11.757303794034</v>
      </c>
      <c r="G25" s="8">
        <f t="shared" si="2"/>
        <v>10.958205597433336</v>
      </c>
      <c r="H25" s="9">
        <v>5.9</v>
      </c>
      <c r="I25" s="9">
        <v>5.9</v>
      </c>
      <c r="J25" s="9">
        <v>5.9</v>
      </c>
      <c r="K25" s="9">
        <v>3.78</v>
      </c>
      <c r="L25" s="8">
        <v>0.29649999999999999</v>
      </c>
      <c r="M25" s="10">
        <v>176.5</v>
      </c>
      <c r="N25" s="9">
        <v>5.88</v>
      </c>
      <c r="O25" s="10">
        <v>137.69999999999999</v>
      </c>
      <c r="P25" s="9">
        <v>7.6</v>
      </c>
      <c r="Q25" s="8">
        <f t="shared" si="3"/>
        <v>4.9250774057346094</v>
      </c>
      <c r="R25" s="8">
        <f t="shared" si="4"/>
        <v>5.1733208763733511</v>
      </c>
      <c r="S25" s="11">
        <v>51843.863636363603</v>
      </c>
      <c r="T25" s="8">
        <f t="shared" si="5"/>
        <v>10.855991858271379</v>
      </c>
    </row>
    <row r="26" spans="1:20" ht="15" customHeight="1" x14ac:dyDescent="0.35">
      <c r="A26" s="6">
        <v>44896</v>
      </c>
      <c r="B26" s="7">
        <v>2848752.09</v>
      </c>
      <c r="C26" s="7">
        <v>123747.93</v>
      </c>
      <c r="D26" s="7">
        <v>62013.84</v>
      </c>
      <c r="E26" s="8">
        <f t="shared" si="0"/>
        <v>14.862391593196874</v>
      </c>
      <c r="F26" s="8">
        <f t="shared" si="1"/>
        <v>11.726001953018306</v>
      </c>
      <c r="G26" s="8">
        <f t="shared" si="2"/>
        <v>11.035112864922507</v>
      </c>
      <c r="H26" s="9">
        <v>6.25</v>
      </c>
      <c r="I26" s="9">
        <v>5.9</v>
      </c>
      <c r="J26" s="9">
        <v>5.9</v>
      </c>
      <c r="K26" s="9">
        <v>4.0999999999999996</v>
      </c>
      <c r="L26" s="8">
        <v>0.248</v>
      </c>
      <c r="M26" s="10">
        <v>175.7</v>
      </c>
      <c r="N26" s="9">
        <v>5.72</v>
      </c>
      <c r="O26" s="10">
        <v>145.9</v>
      </c>
      <c r="P26" s="9">
        <v>5.0999999999999996</v>
      </c>
      <c r="Q26" s="8">
        <f t="shared" si="3"/>
        <v>4.9829214555287402</v>
      </c>
      <c r="R26" s="8">
        <f t="shared" si="4"/>
        <v>5.168777995193051</v>
      </c>
      <c r="S26" s="11">
        <v>53928.727272727301</v>
      </c>
      <c r="T26" s="8">
        <f t="shared" si="5"/>
        <v>10.895418588437135</v>
      </c>
    </row>
    <row r="27" spans="1:20" ht="15" customHeight="1" x14ac:dyDescent="0.35">
      <c r="A27" s="6">
        <v>44927</v>
      </c>
      <c r="B27" s="7">
        <v>3958874.16</v>
      </c>
      <c r="C27" s="7">
        <v>186782.87</v>
      </c>
      <c r="D27" s="7">
        <v>85928.45</v>
      </c>
      <c r="E27" s="8">
        <f t="shared" si="0"/>
        <v>15.191470239778592</v>
      </c>
      <c r="F27" s="8">
        <f t="shared" si="1"/>
        <v>12.137702098216501</v>
      </c>
      <c r="G27" s="8">
        <f t="shared" si="2"/>
        <v>11.361270252206726</v>
      </c>
      <c r="H27" s="9">
        <v>6.25</v>
      </c>
      <c r="I27" s="9">
        <v>6.25</v>
      </c>
      <c r="J27" s="9">
        <v>5.9</v>
      </c>
      <c r="K27" s="9">
        <v>4.33</v>
      </c>
      <c r="L27" s="8">
        <v>0.19589999999999999</v>
      </c>
      <c r="M27" s="10">
        <v>176.5</v>
      </c>
      <c r="N27" s="9">
        <v>6.52</v>
      </c>
      <c r="O27" s="10">
        <v>147.4</v>
      </c>
      <c r="P27" s="9">
        <v>5.8</v>
      </c>
      <c r="Q27" s="8">
        <f t="shared" si="3"/>
        <v>4.9931499797552359</v>
      </c>
      <c r="R27" s="8">
        <f t="shared" si="4"/>
        <v>5.1733208763733511</v>
      </c>
      <c r="S27" s="11">
        <v>56221.714285714297</v>
      </c>
      <c r="T27" s="8">
        <f t="shared" si="5"/>
        <v>10.937058336448755</v>
      </c>
    </row>
    <row r="28" spans="1:20" ht="15" customHeight="1" x14ac:dyDescent="0.35">
      <c r="A28" s="6">
        <v>44958</v>
      </c>
      <c r="B28" s="7">
        <v>4013299.11</v>
      </c>
      <c r="C28" s="7">
        <v>186856.01</v>
      </c>
      <c r="D28" s="7">
        <v>87821.759999999995</v>
      </c>
      <c r="E28" s="8">
        <f t="shared" si="0"/>
        <v>15.205124181731843</v>
      </c>
      <c r="F28" s="8">
        <f t="shared" si="1"/>
        <v>12.138093599234459</v>
      </c>
      <c r="G28" s="8">
        <f t="shared" si="2"/>
        <v>11.38306458490783</v>
      </c>
      <c r="H28" s="9">
        <v>6.5</v>
      </c>
      <c r="I28" s="9">
        <v>6.25</v>
      </c>
      <c r="J28" s="9">
        <v>6.25</v>
      </c>
      <c r="K28" s="9">
        <v>4.57</v>
      </c>
      <c r="L28" s="8">
        <v>0.29349999999999998</v>
      </c>
      <c r="M28" s="10">
        <v>176.8</v>
      </c>
      <c r="N28" s="9">
        <v>6.44</v>
      </c>
      <c r="O28" s="10">
        <v>139.30000000000001</v>
      </c>
      <c r="P28" s="9">
        <v>6</v>
      </c>
      <c r="Q28" s="8">
        <f t="shared" si="3"/>
        <v>4.9366298807857598</v>
      </c>
      <c r="R28" s="8">
        <f t="shared" si="4"/>
        <v>5.1750191502035428</v>
      </c>
      <c r="S28" s="11">
        <v>56655.1</v>
      </c>
      <c r="T28" s="8">
        <f t="shared" si="5"/>
        <v>10.944737288882388</v>
      </c>
    </row>
    <row r="29" spans="1:20" ht="15" customHeight="1" x14ac:dyDescent="0.35">
      <c r="A29" s="6">
        <v>44986</v>
      </c>
      <c r="B29" s="7">
        <v>4085168.18</v>
      </c>
      <c r="C29" s="7">
        <v>194281.97</v>
      </c>
      <c r="D29" s="7">
        <v>88428.479999999996</v>
      </c>
      <c r="E29" s="8">
        <f t="shared" si="0"/>
        <v>15.222873455563413</v>
      </c>
      <c r="F29" s="8">
        <f t="shared" si="1"/>
        <v>12.177065836412389</v>
      </c>
      <c r="G29" s="8">
        <f t="shared" si="2"/>
        <v>11.389949368685199</v>
      </c>
      <c r="H29" s="9">
        <v>6.5</v>
      </c>
      <c r="I29" s="9">
        <v>6.5</v>
      </c>
      <c r="J29" s="9">
        <v>6.25</v>
      </c>
      <c r="K29" s="9">
        <v>4.6500000000000004</v>
      </c>
      <c r="L29" s="8">
        <v>0.30659999999999998</v>
      </c>
      <c r="M29" s="10">
        <v>177.2</v>
      </c>
      <c r="N29" s="9">
        <v>5.66</v>
      </c>
      <c r="O29" s="10">
        <v>151.69999999999999</v>
      </c>
      <c r="P29" s="9">
        <v>1.9</v>
      </c>
      <c r="Q29" s="8">
        <f t="shared" si="3"/>
        <v>5.0219048863544868</v>
      </c>
      <c r="R29" s="8">
        <f t="shared" si="4"/>
        <v>5.1772790381709806</v>
      </c>
      <c r="S29" s="11">
        <v>57577.565217391297</v>
      </c>
      <c r="T29" s="8">
        <f t="shared" si="5"/>
        <v>10.960888278058356</v>
      </c>
    </row>
    <row r="30" spans="1:20" ht="15" customHeight="1" x14ac:dyDescent="0.35">
      <c r="A30" s="6">
        <v>45017</v>
      </c>
      <c r="B30" s="7">
        <v>4119591.99</v>
      </c>
      <c r="C30" s="7">
        <v>200257.9</v>
      </c>
      <c r="D30" s="7">
        <v>89664.66</v>
      </c>
      <c r="E30" s="8">
        <f t="shared" si="0"/>
        <v>15.231264684868362</v>
      </c>
      <c r="F30" s="8">
        <f t="shared" si="1"/>
        <v>12.207361314839089</v>
      </c>
      <c r="G30" s="8">
        <f t="shared" si="2"/>
        <v>11.403831990483292</v>
      </c>
      <c r="H30" s="9">
        <v>6.5</v>
      </c>
      <c r="I30" s="9">
        <v>6.5</v>
      </c>
      <c r="J30" s="9">
        <v>6.5</v>
      </c>
      <c r="K30" s="9">
        <v>4.83</v>
      </c>
      <c r="L30" s="8">
        <v>0.24640000000000001</v>
      </c>
      <c r="M30" s="10">
        <v>178.1</v>
      </c>
      <c r="N30" s="9">
        <v>4.7</v>
      </c>
      <c r="O30" s="10">
        <v>140.69999999999999</v>
      </c>
      <c r="P30" s="9">
        <v>4.5999999999999996</v>
      </c>
      <c r="Q30" s="8">
        <f t="shared" si="3"/>
        <v>4.9466299641203433</v>
      </c>
      <c r="R30" s="8">
        <f t="shared" si="4"/>
        <v>5.1823451902956164</v>
      </c>
      <c r="S30" s="11">
        <v>60128.473684210498</v>
      </c>
      <c r="T30" s="8">
        <f t="shared" si="5"/>
        <v>11.00423878011275</v>
      </c>
    </row>
    <row r="31" spans="1:20" ht="15" customHeight="1" x14ac:dyDescent="0.35">
      <c r="A31" s="6">
        <v>45047</v>
      </c>
      <c r="B31" s="7">
        <v>4137820.66</v>
      </c>
      <c r="C31" s="7">
        <v>201131.33</v>
      </c>
      <c r="D31" s="7">
        <v>90696.58</v>
      </c>
      <c r="E31" s="8">
        <f t="shared" si="0"/>
        <v>15.235679796570759</v>
      </c>
      <c r="F31" s="8">
        <f t="shared" si="1"/>
        <v>12.211713356763996</v>
      </c>
      <c r="G31" s="8">
        <f t="shared" si="2"/>
        <v>11.415274928666843</v>
      </c>
      <c r="H31" s="9">
        <v>6.5</v>
      </c>
      <c r="I31" s="9">
        <v>6.5</v>
      </c>
      <c r="J31" s="9">
        <v>6.5</v>
      </c>
      <c r="K31" s="9">
        <v>5.0599999999999996</v>
      </c>
      <c r="L31" s="8">
        <v>0.315</v>
      </c>
      <c r="M31" s="10">
        <v>179.1</v>
      </c>
      <c r="N31" s="9">
        <v>4.3099999999999996</v>
      </c>
      <c r="O31" s="10">
        <v>145.6</v>
      </c>
      <c r="P31" s="9">
        <v>5.7</v>
      </c>
      <c r="Q31" s="8">
        <f t="shared" si="3"/>
        <v>4.9808631357625854</v>
      </c>
      <c r="R31" s="8">
        <f t="shared" si="4"/>
        <v>5.1879443090666664</v>
      </c>
      <c r="S31" s="11">
        <v>60551.9130434783</v>
      </c>
      <c r="T31" s="8">
        <f t="shared" si="5"/>
        <v>11.011256342924396</v>
      </c>
    </row>
    <row r="32" spans="1:20" ht="15" customHeight="1" x14ac:dyDescent="0.35">
      <c r="A32" s="6">
        <v>45078</v>
      </c>
      <c r="B32" s="7">
        <v>4260983.9400000004</v>
      </c>
      <c r="C32" s="7">
        <v>209375.64</v>
      </c>
      <c r="D32" s="7">
        <v>95347.38</v>
      </c>
      <c r="E32" s="8">
        <f t="shared" si="0"/>
        <v>15.265010663406652</v>
      </c>
      <c r="F32" s="8">
        <f t="shared" si="1"/>
        <v>12.251885238273214</v>
      </c>
      <c r="G32" s="8">
        <f t="shared" si="2"/>
        <v>11.465282132937359</v>
      </c>
      <c r="H32" s="9">
        <v>6.5</v>
      </c>
      <c r="I32" s="9">
        <v>6.5</v>
      </c>
      <c r="J32" s="9">
        <v>6.5</v>
      </c>
      <c r="K32" s="9">
        <v>5.08</v>
      </c>
      <c r="L32" s="8">
        <v>0.26300000000000001</v>
      </c>
      <c r="M32" s="10">
        <v>181</v>
      </c>
      <c r="N32" s="9">
        <v>4.87</v>
      </c>
      <c r="O32" s="10">
        <v>143.9</v>
      </c>
      <c r="P32" s="9">
        <v>4</v>
      </c>
      <c r="Q32" s="8">
        <f t="shared" si="3"/>
        <v>4.9691186138933219</v>
      </c>
      <c r="R32" s="8">
        <f t="shared" si="4"/>
        <v>5.1984970312658261</v>
      </c>
      <c r="S32" s="11">
        <v>59023.0454545455</v>
      </c>
      <c r="T32" s="8">
        <f t="shared" si="5"/>
        <v>10.985683247547675</v>
      </c>
    </row>
    <row r="33" spans="1:20" ht="15" customHeight="1" x14ac:dyDescent="0.35">
      <c r="A33" s="6">
        <v>45108</v>
      </c>
      <c r="B33" s="7">
        <v>4731833.33</v>
      </c>
      <c r="C33" s="7">
        <v>213592.05</v>
      </c>
      <c r="D33" s="7">
        <v>95745.79</v>
      </c>
      <c r="E33" s="8">
        <f t="shared" si="0"/>
        <v>15.369823281566617</v>
      </c>
      <c r="F33" s="8">
        <f t="shared" si="1"/>
        <v>12.271823166274405</v>
      </c>
      <c r="G33" s="8">
        <f t="shared" si="2"/>
        <v>11.469451937407834</v>
      </c>
      <c r="H33" s="9">
        <v>6.5</v>
      </c>
      <c r="I33" s="9">
        <v>6.5</v>
      </c>
      <c r="J33" s="9">
        <v>6.5</v>
      </c>
      <c r="K33" s="9">
        <v>5.12</v>
      </c>
      <c r="L33" s="8">
        <v>0.21110000000000001</v>
      </c>
      <c r="M33" s="10">
        <v>186.3</v>
      </c>
      <c r="N33" s="9">
        <v>7.44</v>
      </c>
      <c r="O33" s="10">
        <v>142.69999999999999</v>
      </c>
      <c r="P33" s="9">
        <v>6.2</v>
      </c>
      <c r="Q33" s="8">
        <f t="shared" si="3"/>
        <v>4.9607445244827906</v>
      </c>
      <c r="R33" s="8">
        <f t="shared" si="4"/>
        <v>5.2273582776075429</v>
      </c>
      <c r="S33" s="11">
        <v>58937.0952380952</v>
      </c>
      <c r="T33" s="8">
        <f t="shared" si="5"/>
        <v>10.984225971705914</v>
      </c>
    </row>
    <row r="34" spans="1:20" ht="15" customHeight="1" x14ac:dyDescent="0.35">
      <c r="A34" s="6">
        <v>45139</v>
      </c>
      <c r="B34" s="7">
        <v>4770124.7</v>
      </c>
      <c r="C34" s="7">
        <v>217863.8</v>
      </c>
      <c r="D34" s="7">
        <v>96264.65</v>
      </c>
      <c r="E34" s="8">
        <f t="shared" si="0"/>
        <v>15.377883005080465</v>
      </c>
      <c r="F34" s="8">
        <f t="shared" si="1"/>
        <v>12.291625375878517</v>
      </c>
      <c r="G34" s="8">
        <f t="shared" si="2"/>
        <v>11.474856448359807</v>
      </c>
      <c r="H34" s="9">
        <v>6.5</v>
      </c>
      <c r="I34" s="9">
        <v>6.5</v>
      </c>
      <c r="J34" s="9">
        <v>6.5</v>
      </c>
      <c r="K34" s="9">
        <v>5.33</v>
      </c>
      <c r="L34" s="8">
        <v>0.3155</v>
      </c>
      <c r="M34" s="10">
        <v>186.2</v>
      </c>
      <c r="N34" s="9">
        <v>6.83</v>
      </c>
      <c r="O34" s="10">
        <v>145.80000000000001</v>
      </c>
      <c r="P34" s="9">
        <v>10.9</v>
      </c>
      <c r="Q34" s="8">
        <f t="shared" si="3"/>
        <v>4.9822358195745577</v>
      </c>
      <c r="R34" s="8">
        <f t="shared" si="4"/>
        <v>5.2268213648429667</v>
      </c>
      <c r="S34" s="11">
        <v>58722.181818181802</v>
      </c>
      <c r="T34" s="8">
        <f t="shared" si="5"/>
        <v>10.980572818902305</v>
      </c>
    </row>
    <row r="35" spans="1:20" ht="15" customHeight="1" x14ac:dyDescent="0.35">
      <c r="A35" s="6">
        <v>45170</v>
      </c>
      <c r="B35" s="7">
        <v>4826832.76</v>
      </c>
      <c r="C35" s="7">
        <v>217202.91</v>
      </c>
      <c r="D35" s="7">
        <v>97659.76</v>
      </c>
      <c r="E35" s="8">
        <f t="shared" ref="E35:E70" si="6">IF(B35="","",LN(B35))</f>
        <v>15.389701067263879</v>
      </c>
      <c r="F35" s="8">
        <f t="shared" ref="F35:F70" si="7">IF(C35="","",LN(C35))</f>
        <v>12.288587264742223</v>
      </c>
      <c r="G35" s="8">
        <f t="shared" ref="G35:G70" si="8">IF(D35="","",LN(D35))</f>
        <v>11.489244880107</v>
      </c>
      <c r="H35" s="9">
        <v>6.5</v>
      </c>
      <c r="I35" s="9">
        <v>6.5</v>
      </c>
      <c r="J35" s="9">
        <v>6.5</v>
      </c>
      <c r="K35" s="9">
        <v>5.33</v>
      </c>
      <c r="L35" s="8">
        <v>0.45979999999999999</v>
      </c>
      <c r="M35" s="10">
        <v>184.1</v>
      </c>
      <c r="N35" s="9">
        <v>5.0199999999999996</v>
      </c>
      <c r="O35" s="10">
        <v>142.30000000000001</v>
      </c>
      <c r="P35" s="9">
        <v>6.4</v>
      </c>
      <c r="Q35" s="8">
        <f t="shared" ref="Q35:Q70" si="9">IF(O35="","",LN(O35))</f>
        <v>4.9579375050958063</v>
      </c>
      <c r="R35" s="8">
        <f t="shared" ref="R35:R70" si="10">IF(M35="","",LN(M35))</f>
        <v>5.2154790882390323</v>
      </c>
      <c r="S35" s="11">
        <v>58785.428571428602</v>
      </c>
      <c r="T35" s="8">
        <f t="shared" ref="T35:T66" si="11">IF(S35="","",LN(S35))</f>
        <v>10.981649289764823</v>
      </c>
    </row>
    <row r="36" spans="1:20" ht="15" customHeight="1" x14ac:dyDescent="0.35">
      <c r="A36" s="6">
        <v>45200</v>
      </c>
      <c r="B36" s="7">
        <v>4999348.5599999996</v>
      </c>
      <c r="C36" s="7">
        <v>240655.93</v>
      </c>
      <c r="D36" s="7">
        <v>100003.79</v>
      </c>
      <c r="E36" s="8">
        <f t="shared" si="6"/>
        <v>15.424818173910156</v>
      </c>
      <c r="F36" s="8">
        <f t="shared" si="7"/>
        <v>12.391123516023335</v>
      </c>
      <c r="G36" s="8">
        <f t="shared" si="8"/>
        <v>11.512963364252041</v>
      </c>
      <c r="H36" s="9">
        <v>6.5</v>
      </c>
      <c r="I36" s="9">
        <v>6.5</v>
      </c>
      <c r="J36" s="9">
        <v>6.5</v>
      </c>
      <c r="K36" s="9">
        <v>5.33</v>
      </c>
      <c r="L36" s="8">
        <v>0.22090000000000001</v>
      </c>
      <c r="M36" s="10">
        <v>185.3</v>
      </c>
      <c r="N36" s="9">
        <v>4.87</v>
      </c>
      <c r="O36" s="10">
        <v>144.9</v>
      </c>
      <c r="P36" s="9">
        <v>11.9</v>
      </c>
      <c r="Q36" s="8">
        <f t="shared" si="9"/>
        <v>4.9760438493266363</v>
      </c>
      <c r="R36" s="8">
        <f t="shared" si="10"/>
        <v>5.2219761332913137</v>
      </c>
      <c r="S36" s="11">
        <v>58852.714285714297</v>
      </c>
      <c r="T36" s="8">
        <f t="shared" si="11"/>
        <v>10.982793233727028</v>
      </c>
    </row>
    <row r="37" spans="1:20" ht="15" customHeight="1" x14ac:dyDescent="0.35">
      <c r="A37" s="6">
        <v>45231</v>
      </c>
      <c r="B37" s="7">
        <v>5056523.93</v>
      </c>
      <c r="C37" s="7">
        <v>244688.67</v>
      </c>
      <c r="D37" s="7">
        <v>100279.3</v>
      </c>
      <c r="E37" s="8">
        <f t="shared" si="6"/>
        <v>15.436189834835659</v>
      </c>
      <c r="F37" s="8">
        <f t="shared" si="7"/>
        <v>12.407741946765023</v>
      </c>
      <c r="G37" s="8">
        <f t="shared" si="8"/>
        <v>11.51571457179314</v>
      </c>
      <c r="H37" s="9">
        <v>6.5</v>
      </c>
      <c r="I37" s="9">
        <v>6.5</v>
      </c>
      <c r="J37" s="9">
        <v>6.5</v>
      </c>
      <c r="K37" s="9">
        <v>5.33</v>
      </c>
      <c r="L37" s="8">
        <v>0.25030000000000002</v>
      </c>
      <c r="M37" s="10">
        <v>186.3</v>
      </c>
      <c r="N37" s="9">
        <v>5.55</v>
      </c>
      <c r="O37" s="10">
        <v>141.1</v>
      </c>
      <c r="P37" s="9">
        <v>2.5</v>
      </c>
      <c r="Q37" s="8">
        <f t="shared" si="9"/>
        <v>4.9494688588587685</v>
      </c>
      <c r="R37" s="8">
        <f t="shared" si="10"/>
        <v>5.2273582776075429</v>
      </c>
      <c r="S37" s="11">
        <v>60737.130434782601</v>
      </c>
      <c r="T37" s="8">
        <f t="shared" si="11"/>
        <v>11.014310494065601</v>
      </c>
    </row>
    <row r="38" spans="1:20" ht="15" customHeight="1" x14ac:dyDescent="0.35">
      <c r="A38" s="6">
        <v>45261</v>
      </c>
      <c r="B38" s="7">
        <v>5175423.0599999996</v>
      </c>
      <c r="C38" s="7">
        <v>251879.74</v>
      </c>
      <c r="D38" s="7">
        <v>101925.32</v>
      </c>
      <c r="E38" s="8">
        <f t="shared" si="6"/>
        <v>15.459431644498936</v>
      </c>
      <c r="F38" s="8">
        <f t="shared" si="7"/>
        <v>12.436707030364573</v>
      </c>
      <c r="G38" s="8">
        <f t="shared" si="8"/>
        <v>11.53199566724593</v>
      </c>
      <c r="H38" s="9">
        <v>6.5</v>
      </c>
      <c r="I38" s="9">
        <v>6.5</v>
      </c>
      <c r="J38" s="9">
        <v>6.5</v>
      </c>
      <c r="K38" s="9">
        <v>5.33</v>
      </c>
      <c r="L38" s="8">
        <v>0.2253</v>
      </c>
      <c r="M38" s="10">
        <v>185.7</v>
      </c>
      <c r="N38" s="9">
        <v>5.69</v>
      </c>
      <c r="O38" s="10">
        <v>152.30000000000001</v>
      </c>
      <c r="P38" s="9">
        <v>4.4000000000000004</v>
      </c>
      <c r="Q38" s="8">
        <f t="shared" si="9"/>
        <v>5.0258522599011162</v>
      </c>
      <c r="R38" s="8">
        <f t="shared" si="10"/>
        <v>5.2241324683586603</v>
      </c>
      <c r="S38" s="11">
        <v>62218.75</v>
      </c>
      <c r="T38" s="8">
        <f t="shared" si="11"/>
        <v>11.038411680246607</v>
      </c>
    </row>
    <row r="39" spans="1:20" ht="15" customHeight="1" x14ac:dyDescent="0.35">
      <c r="A39" s="6">
        <v>45292</v>
      </c>
      <c r="B39" s="7">
        <v>5217944.25</v>
      </c>
      <c r="C39" s="7">
        <v>258523.92</v>
      </c>
      <c r="D39" s="7">
        <v>101933.69</v>
      </c>
      <c r="E39" s="8">
        <f t="shared" si="6"/>
        <v>15.467614060451554</v>
      </c>
      <c r="F39" s="8">
        <f t="shared" si="7"/>
        <v>12.462743502498759</v>
      </c>
      <c r="G39" s="8">
        <f t="shared" si="8"/>
        <v>11.532077782821835</v>
      </c>
      <c r="H39" s="9">
        <v>6.5</v>
      </c>
      <c r="I39" s="9">
        <v>6.5</v>
      </c>
      <c r="J39" s="9">
        <v>6.5</v>
      </c>
      <c r="K39" s="9">
        <v>5.33</v>
      </c>
      <c r="L39" s="8">
        <v>0.27560000000000001</v>
      </c>
      <c r="M39" s="10">
        <v>185.5</v>
      </c>
      <c r="N39" s="9">
        <v>5.0999999999999996</v>
      </c>
      <c r="O39" s="10">
        <v>153.6</v>
      </c>
      <c r="P39" s="9">
        <v>4.2</v>
      </c>
      <c r="Q39" s="8">
        <f t="shared" si="9"/>
        <v>5.0343518207135718</v>
      </c>
      <c r="R39" s="8">
        <f t="shared" si="10"/>
        <v>5.2230548820474896</v>
      </c>
      <c r="S39" s="11">
        <v>62336.318181818198</v>
      </c>
      <c r="T39" s="8">
        <f t="shared" si="11"/>
        <v>11.040299491291961</v>
      </c>
    </row>
    <row r="40" spans="1:20" ht="15" customHeight="1" x14ac:dyDescent="0.35">
      <c r="A40" s="6">
        <v>45323</v>
      </c>
      <c r="B40" s="7">
        <v>5294399.42</v>
      </c>
      <c r="C40" s="7">
        <v>260219.18</v>
      </c>
      <c r="D40" s="7">
        <v>103314.92</v>
      </c>
      <c r="E40" s="8">
        <f t="shared" si="6"/>
        <v>15.482160106599766</v>
      </c>
      <c r="F40" s="8">
        <f t="shared" si="7"/>
        <v>12.469279554872731</v>
      </c>
      <c r="G40" s="8">
        <f t="shared" si="8"/>
        <v>11.545537078366475</v>
      </c>
      <c r="H40" s="9">
        <v>6.5</v>
      </c>
      <c r="I40" s="9">
        <v>6.5</v>
      </c>
      <c r="J40" s="9">
        <v>6.5</v>
      </c>
      <c r="K40" s="9">
        <v>5.33</v>
      </c>
      <c r="L40" s="8">
        <v>0.21590000000000001</v>
      </c>
      <c r="M40" s="10">
        <v>185.8</v>
      </c>
      <c r="N40" s="9">
        <v>5.09</v>
      </c>
      <c r="O40" s="10">
        <v>147.1</v>
      </c>
      <c r="P40" s="9">
        <v>5.6</v>
      </c>
      <c r="Q40" s="8">
        <f t="shared" si="9"/>
        <v>4.991112627607392</v>
      </c>
      <c r="R40" s="8">
        <f t="shared" si="10"/>
        <v>5.2246708263797386</v>
      </c>
      <c r="S40" s="11">
        <v>62030.761904761901</v>
      </c>
      <c r="T40" s="8">
        <f t="shared" si="11"/>
        <v>11.035385700734901</v>
      </c>
    </row>
    <row r="41" spans="1:20" ht="15" customHeight="1" x14ac:dyDescent="0.35">
      <c r="A41" s="6">
        <v>45352</v>
      </c>
      <c r="B41" s="7">
        <v>5417102.8499999996</v>
      </c>
      <c r="C41" s="7">
        <v>270247.43</v>
      </c>
      <c r="D41" s="7">
        <v>105523.66</v>
      </c>
      <c r="E41" s="8">
        <f t="shared" si="6"/>
        <v>15.5050717009837</v>
      </c>
      <c r="F41" s="8">
        <f t="shared" si="7"/>
        <v>12.507093225743009</v>
      </c>
      <c r="G41" s="8">
        <f t="shared" si="8"/>
        <v>11.566690472157376</v>
      </c>
      <c r="H41" s="9">
        <v>6.5</v>
      </c>
      <c r="I41" s="9">
        <v>6.5</v>
      </c>
      <c r="J41" s="9">
        <v>6.5</v>
      </c>
      <c r="K41" s="9">
        <v>5.33</v>
      </c>
      <c r="L41" s="8">
        <v>0.2397</v>
      </c>
      <c r="M41" s="10">
        <v>185.8</v>
      </c>
      <c r="N41" s="9">
        <v>4.8499999999999996</v>
      </c>
      <c r="O41" s="10">
        <v>160</v>
      </c>
      <c r="P41" s="9">
        <v>5.5</v>
      </c>
      <c r="Q41" s="8">
        <f t="shared" si="9"/>
        <v>5.0751738152338266</v>
      </c>
      <c r="R41" s="8">
        <f t="shared" si="10"/>
        <v>5.2246708263797386</v>
      </c>
      <c r="S41" s="11">
        <v>65305.75</v>
      </c>
      <c r="T41" s="8">
        <f t="shared" si="11"/>
        <v>11.086835366518066</v>
      </c>
    </row>
    <row r="42" spans="1:20" ht="15" customHeight="1" x14ac:dyDescent="0.35">
      <c r="A42" s="6">
        <v>45383</v>
      </c>
      <c r="B42" s="7">
        <v>5431007.8399999999</v>
      </c>
      <c r="C42" s="7">
        <v>272992.46000000002</v>
      </c>
      <c r="D42" s="7">
        <v>104483.97</v>
      </c>
      <c r="E42" s="8">
        <f t="shared" si="6"/>
        <v>15.507635280580661</v>
      </c>
      <c r="F42" s="8">
        <f t="shared" si="7"/>
        <v>12.517199454738066</v>
      </c>
      <c r="G42" s="8">
        <f t="shared" si="8"/>
        <v>11.556788941491273</v>
      </c>
      <c r="H42" s="9">
        <v>6.5</v>
      </c>
      <c r="I42" s="9">
        <v>6.5</v>
      </c>
      <c r="J42" s="9">
        <v>6.5</v>
      </c>
      <c r="K42" s="9">
        <v>5.33</v>
      </c>
      <c r="L42" s="8">
        <v>0.24679999999999999</v>
      </c>
      <c r="M42" s="10">
        <v>186.7</v>
      </c>
      <c r="N42" s="9">
        <v>4.83</v>
      </c>
      <c r="O42" s="10">
        <v>148</v>
      </c>
      <c r="P42" s="9">
        <v>5.2</v>
      </c>
      <c r="Q42" s="8">
        <f t="shared" si="9"/>
        <v>4.9972122737641147</v>
      </c>
      <c r="R42" s="8">
        <f t="shared" si="10"/>
        <v>5.2295030505476765</v>
      </c>
      <c r="S42" s="11">
        <v>71481.681818181794</v>
      </c>
      <c r="T42" s="8">
        <f t="shared" si="11"/>
        <v>11.177196497510588</v>
      </c>
    </row>
    <row r="43" spans="1:20" ht="15" customHeight="1" x14ac:dyDescent="0.35">
      <c r="A43" s="6">
        <v>45413</v>
      </c>
      <c r="B43" s="7">
        <v>5500347.5300000003</v>
      </c>
      <c r="C43" s="7">
        <v>284637.77</v>
      </c>
      <c r="D43" s="7">
        <v>118961.83</v>
      </c>
      <c r="E43" s="8">
        <f t="shared" si="6"/>
        <v>15.520321835479194</v>
      </c>
      <c r="F43" s="8">
        <f t="shared" si="7"/>
        <v>12.558972668411412</v>
      </c>
      <c r="G43" s="8">
        <f t="shared" si="8"/>
        <v>11.68655796433784</v>
      </c>
      <c r="H43" s="9">
        <v>6.5</v>
      </c>
      <c r="I43" s="9">
        <v>6.5</v>
      </c>
      <c r="J43" s="9">
        <v>6.5</v>
      </c>
      <c r="K43" s="9">
        <v>5.33</v>
      </c>
      <c r="L43" s="8">
        <v>0.1346</v>
      </c>
      <c r="M43" s="10">
        <v>187.7</v>
      </c>
      <c r="N43" s="9">
        <v>4.8</v>
      </c>
      <c r="O43" s="10">
        <v>154.69999999999999</v>
      </c>
      <c r="P43" s="9">
        <v>6.3</v>
      </c>
      <c r="Q43" s="8">
        <f t="shared" si="9"/>
        <v>5.04148775757902</v>
      </c>
      <c r="R43" s="8">
        <f t="shared" si="10"/>
        <v>5.2348449435924627</v>
      </c>
      <c r="S43" s="11">
        <v>72180.391304347795</v>
      </c>
      <c r="T43" s="8">
        <f t="shared" si="11"/>
        <v>11.186923699411619</v>
      </c>
    </row>
    <row r="44" spans="1:20" ht="15" customHeight="1" x14ac:dyDescent="0.35">
      <c r="A44" s="6">
        <v>45444</v>
      </c>
      <c r="B44" s="7">
        <v>5571600.2800000003</v>
      </c>
      <c r="C44" s="7">
        <v>290416.56</v>
      </c>
      <c r="D44" s="7">
        <v>126541.02</v>
      </c>
      <c r="E44" s="8">
        <f t="shared" si="6"/>
        <v>15.533192874050876</v>
      </c>
      <c r="F44" s="8">
        <f t="shared" si="7"/>
        <v>12.579071585100316</v>
      </c>
      <c r="G44" s="8">
        <f t="shared" si="8"/>
        <v>11.748321803360659</v>
      </c>
      <c r="H44" s="9">
        <v>6.5</v>
      </c>
      <c r="I44" s="9">
        <v>6.5</v>
      </c>
      <c r="J44" s="9">
        <v>6.5</v>
      </c>
      <c r="K44" s="9">
        <v>5.33</v>
      </c>
      <c r="L44" s="8">
        <v>0.19020000000000001</v>
      </c>
      <c r="M44" s="10">
        <v>190.2</v>
      </c>
      <c r="N44" s="9">
        <v>5.08</v>
      </c>
      <c r="O44" s="10">
        <v>151</v>
      </c>
      <c r="P44" s="9">
        <v>4.9000000000000004</v>
      </c>
      <c r="Q44" s="8">
        <f t="shared" si="9"/>
        <v>5.0172798368149243</v>
      </c>
      <c r="R44" s="8">
        <f t="shared" si="10"/>
        <v>5.2480761501112898</v>
      </c>
      <c r="S44" s="11">
        <v>71545.8</v>
      </c>
      <c r="T44" s="8">
        <f t="shared" si="11"/>
        <v>11.178093083052028</v>
      </c>
    </row>
    <row r="45" spans="1:20" ht="15" customHeight="1" x14ac:dyDescent="0.35">
      <c r="A45" s="6">
        <v>45474</v>
      </c>
      <c r="B45" s="7">
        <v>5686398.6399999997</v>
      </c>
      <c r="C45" s="7">
        <v>297842.33</v>
      </c>
      <c r="D45" s="7">
        <v>138633.54</v>
      </c>
      <c r="E45" s="8">
        <f t="shared" si="6"/>
        <v>15.553587677775305</v>
      </c>
      <c r="F45" s="8">
        <f t="shared" si="7"/>
        <v>12.60431953150821</v>
      </c>
      <c r="G45" s="8">
        <f t="shared" si="8"/>
        <v>11.839589327804749</v>
      </c>
      <c r="H45" s="9">
        <v>6.5</v>
      </c>
      <c r="I45" s="9">
        <v>6.5</v>
      </c>
      <c r="J45" s="9">
        <v>6.5</v>
      </c>
      <c r="K45" s="9">
        <v>5.33</v>
      </c>
      <c r="L45" s="8">
        <v>0.16009999999999999</v>
      </c>
      <c r="M45" s="10">
        <v>193</v>
      </c>
      <c r="N45" s="9">
        <v>3.6</v>
      </c>
      <c r="O45" s="10">
        <v>149.80000000000001</v>
      </c>
      <c r="P45" s="9">
        <v>5</v>
      </c>
      <c r="Q45" s="8">
        <f t="shared" si="9"/>
        <v>5.0093010710831196</v>
      </c>
      <c r="R45" s="8">
        <f t="shared" si="10"/>
        <v>5.2626901889048856</v>
      </c>
      <c r="S45" s="11">
        <v>71379.652173912997</v>
      </c>
      <c r="T45" s="8">
        <f t="shared" si="11"/>
        <v>11.175768124153503</v>
      </c>
    </row>
    <row r="46" spans="1:20" ht="15" customHeight="1" x14ac:dyDescent="0.35">
      <c r="A46" s="6">
        <v>45505</v>
      </c>
      <c r="B46" s="7">
        <v>5791194.8799999999</v>
      </c>
      <c r="C46" s="7">
        <v>303084.77</v>
      </c>
      <c r="D46" s="7">
        <v>151445.76999999999</v>
      </c>
      <c r="E46" s="8">
        <f t="shared" si="6"/>
        <v>15.571849197860663</v>
      </c>
      <c r="F46" s="8">
        <f t="shared" si="7"/>
        <v>12.621767814340361</v>
      </c>
      <c r="G46" s="8">
        <f t="shared" si="8"/>
        <v>11.927982886055428</v>
      </c>
      <c r="H46" s="9">
        <v>6.5</v>
      </c>
      <c r="I46" s="9">
        <v>6.5</v>
      </c>
      <c r="J46" s="9">
        <v>6.5</v>
      </c>
      <c r="K46" s="9">
        <v>5.33</v>
      </c>
      <c r="L46" s="8">
        <v>0.22789999999999999</v>
      </c>
      <c r="M46" s="10">
        <v>193</v>
      </c>
      <c r="N46" s="9">
        <v>3.65</v>
      </c>
      <c r="O46" s="10">
        <v>145.80000000000001</v>
      </c>
      <c r="P46" s="9">
        <v>0</v>
      </c>
      <c r="Q46" s="8">
        <f t="shared" si="9"/>
        <v>4.9822358195745577</v>
      </c>
      <c r="R46" s="8">
        <f t="shared" si="10"/>
        <v>5.2626901889048856</v>
      </c>
      <c r="S46" s="11">
        <v>70380.761904761894</v>
      </c>
      <c r="T46" s="8">
        <f t="shared" si="11"/>
        <v>11.161675236403253</v>
      </c>
    </row>
    <row r="47" spans="1:20" ht="15" customHeight="1" x14ac:dyDescent="0.35">
      <c r="A47" s="6">
        <v>45536</v>
      </c>
      <c r="B47" s="7">
        <v>5958673.8099999996</v>
      </c>
      <c r="C47" s="7">
        <v>312274.11</v>
      </c>
      <c r="D47" s="7">
        <v>167263.98000000001</v>
      </c>
      <c r="E47" s="8">
        <f t="shared" si="6"/>
        <v>15.600358499180704</v>
      </c>
      <c r="F47" s="8">
        <f t="shared" si="7"/>
        <v>12.651636638778012</v>
      </c>
      <c r="G47" s="8">
        <f t="shared" si="8"/>
        <v>12.027328561941186</v>
      </c>
      <c r="H47" s="9">
        <v>6.5</v>
      </c>
      <c r="I47" s="9">
        <v>6.5</v>
      </c>
      <c r="J47" s="9">
        <v>6.5</v>
      </c>
      <c r="K47" s="9">
        <v>5.13</v>
      </c>
      <c r="L47" s="8">
        <v>0.1691</v>
      </c>
      <c r="M47" s="10">
        <v>194.2</v>
      </c>
      <c r="N47" s="9">
        <v>5.49</v>
      </c>
      <c r="O47" s="10">
        <v>146.9</v>
      </c>
      <c r="P47" s="9">
        <v>3.2</v>
      </c>
      <c r="Q47" s="8">
        <f t="shared" si="9"/>
        <v>4.9897520831798321</v>
      </c>
      <c r="R47" s="8">
        <f t="shared" si="10"/>
        <v>5.2688885558572247</v>
      </c>
      <c r="S47" s="11">
        <v>72882.714285714304</v>
      </c>
      <c r="T47" s="8">
        <f t="shared" si="11"/>
        <v>11.196606774458143</v>
      </c>
    </row>
    <row r="48" spans="1:20" ht="15" customHeight="1" x14ac:dyDescent="0.35">
      <c r="A48" s="6">
        <v>45566</v>
      </c>
      <c r="B48" s="7">
        <v>6072908.54</v>
      </c>
      <c r="C48" s="7">
        <v>323807.74</v>
      </c>
      <c r="D48" s="7">
        <v>184828.72</v>
      </c>
      <c r="E48" s="8">
        <f t="shared" si="6"/>
        <v>15.619348214664218</v>
      </c>
      <c r="F48" s="8">
        <f t="shared" si="7"/>
        <v>12.68790522358421</v>
      </c>
      <c r="G48" s="8">
        <f t="shared" si="8"/>
        <v>12.127184837370054</v>
      </c>
      <c r="H48" s="9">
        <v>6.5</v>
      </c>
      <c r="I48" s="9">
        <v>6.5</v>
      </c>
      <c r="J48" s="9">
        <v>6.5</v>
      </c>
      <c r="K48" s="9">
        <v>4.83</v>
      </c>
      <c r="L48" s="8">
        <v>0.26590000000000003</v>
      </c>
      <c r="M48" s="10">
        <v>196.8</v>
      </c>
      <c r="N48" s="9">
        <v>6.21</v>
      </c>
      <c r="O48" s="10">
        <v>150.30000000000001</v>
      </c>
      <c r="P48" s="9">
        <v>3.7</v>
      </c>
      <c r="Q48" s="8">
        <f t="shared" si="9"/>
        <v>5.0126332967589287</v>
      </c>
      <c r="R48" s="8">
        <f t="shared" si="10"/>
        <v>5.2821879846181528</v>
      </c>
      <c r="S48" s="11">
        <v>76706.590909090897</v>
      </c>
      <c r="T48" s="8">
        <f t="shared" si="11"/>
        <v>11.247742914681623</v>
      </c>
    </row>
    <row r="49" spans="1:21" ht="15" customHeight="1" x14ac:dyDescent="0.35">
      <c r="A49" s="6">
        <v>45597</v>
      </c>
      <c r="B49" s="7">
        <v>6203804.6299999999</v>
      </c>
      <c r="C49" s="7">
        <v>336164.52</v>
      </c>
      <c r="D49" s="7">
        <v>202452.15</v>
      </c>
      <c r="E49" s="8">
        <f t="shared" si="6"/>
        <v>15.640673311809151</v>
      </c>
      <c r="F49" s="8">
        <f t="shared" si="7"/>
        <v>12.725355961966537</v>
      </c>
      <c r="G49" s="8">
        <f t="shared" si="8"/>
        <v>12.218258841310066</v>
      </c>
      <c r="H49" s="9">
        <v>6.5</v>
      </c>
      <c r="I49" s="9">
        <v>6.5</v>
      </c>
      <c r="J49" s="9">
        <v>6.5</v>
      </c>
      <c r="K49" s="9">
        <v>4.6399999999999997</v>
      </c>
      <c r="L49" s="8">
        <v>0.18260000000000001</v>
      </c>
      <c r="M49" s="10">
        <v>196.5</v>
      </c>
      <c r="N49" s="9">
        <v>5.48</v>
      </c>
      <c r="O49" s="10">
        <v>148.1</v>
      </c>
      <c r="P49" s="9">
        <v>5</v>
      </c>
      <c r="Q49" s="8">
        <f t="shared" si="9"/>
        <v>4.9978877212737531</v>
      </c>
      <c r="R49" s="8">
        <f t="shared" si="10"/>
        <v>5.2806624313093158</v>
      </c>
      <c r="S49" s="11">
        <v>76268.476190476198</v>
      </c>
      <c r="T49" s="8">
        <f t="shared" si="11"/>
        <v>11.242014975811934</v>
      </c>
    </row>
    <row r="50" spans="1:21" ht="15" customHeight="1" x14ac:dyDescent="0.35">
      <c r="A50" s="6">
        <v>45627</v>
      </c>
      <c r="B50" s="7">
        <v>6315554.8200000003</v>
      </c>
      <c r="C50" s="7">
        <v>347183.61</v>
      </c>
      <c r="D50" s="7">
        <v>218446.39</v>
      </c>
      <c r="E50" s="8">
        <f t="shared" si="6"/>
        <v>15.658526167389672</v>
      </c>
      <c r="F50" s="8">
        <f t="shared" si="7"/>
        <v>12.757609054432885</v>
      </c>
      <c r="G50" s="8">
        <f t="shared" si="8"/>
        <v>12.29429590872232</v>
      </c>
      <c r="H50" s="9">
        <v>6.5</v>
      </c>
      <c r="I50" s="9">
        <v>6.5</v>
      </c>
      <c r="J50" s="9">
        <v>6.5</v>
      </c>
      <c r="K50" s="9">
        <v>4.4800000000000004</v>
      </c>
      <c r="L50" s="8">
        <v>0.19470000000000001</v>
      </c>
      <c r="M50" s="10">
        <v>195.4</v>
      </c>
      <c r="N50" s="9">
        <v>5.22</v>
      </c>
      <c r="O50" s="10">
        <v>158</v>
      </c>
      <c r="P50" s="9">
        <v>3.7</v>
      </c>
      <c r="Q50" s="8">
        <f t="shared" si="9"/>
        <v>5.0625950330269669</v>
      </c>
      <c r="R50" s="8">
        <f t="shared" si="10"/>
        <v>5.2750487396086827</v>
      </c>
      <c r="S50" s="11">
        <v>76219.428571428594</v>
      </c>
      <c r="T50" s="8">
        <f t="shared" si="11"/>
        <v>11.241371677304873</v>
      </c>
    </row>
    <row r="51" spans="1:21" ht="15" customHeight="1" x14ac:dyDescent="0.35">
      <c r="A51" s="6">
        <v>45658</v>
      </c>
      <c r="B51" s="7">
        <v>5831547.2400000002</v>
      </c>
      <c r="C51" s="7">
        <v>292083.73</v>
      </c>
      <c r="D51" s="7">
        <v>178861.5</v>
      </c>
      <c r="E51" s="8">
        <f t="shared" si="6"/>
        <v>15.578792915912119</v>
      </c>
      <c r="F51" s="8">
        <f t="shared" si="7"/>
        <v>12.58479578672182</v>
      </c>
      <c r="G51" s="8">
        <f t="shared" si="8"/>
        <v>12.094367042312507</v>
      </c>
      <c r="H51" s="9">
        <v>6.5</v>
      </c>
      <c r="I51" s="9">
        <v>6.5</v>
      </c>
      <c r="J51" s="9">
        <v>6.5</v>
      </c>
      <c r="K51" s="9">
        <v>4.33</v>
      </c>
      <c r="L51" s="8">
        <v>0.23769999999999999</v>
      </c>
      <c r="M51" s="10">
        <v>193.4</v>
      </c>
      <c r="N51" s="9">
        <v>4.26</v>
      </c>
      <c r="O51" s="10">
        <v>161.6</v>
      </c>
      <c r="P51" s="9">
        <v>5.2</v>
      </c>
      <c r="Q51" s="8">
        <f t="shared" si="9"/>
        <v>5.0851241460869954</v>
      </c>
      <c r="R51" s="8">
        <f t="shared" si="10"/>
        <v>5.2647605830191937</v>
      </c>
      <c r="S51" s="11">
        <v>78634.826086956498</v>
      </c>
      <c r="T51" s="8">
        <f t="shared" si="11"/>
        <v>11.272569960273071</v>
      </c>
    </row>
    <row r="52" spans="1:21" ht="15" customHeight="1" x14ac:dyDescent="0.35">
      <c r="A52" s="6">
        <v>45689</v>
      </c>
      <c r="B52" s="7">
        <v>5878918.1799999997</v>
      </c>
      <c r="C52" s="7">
        <v>287047.14</v>
      </c>
      <c r="D52" s="7">
        <v>191198.21</v>
      </c>
      <c r="E52" s="8">
        <f t="shared" si="6"/>
        <v>15.586883319954666</v>
      </c>
      <c r="F52" s="8">
        <f t="shared" si="7"/>
        <v>12.567401732125141</v>
      </c>
      <c r="G52" s="8">
        <f t="shared" si="8"/>
        <v>12.161065917630928</v>
      </c>
      <c r="H52" s="9">
        <v>6.25</v>
      </c>
      <c r="I52" s="9">
        <v>6.5</v>
      </c>
      <c r="J52" s="9">
        <v>6.5</v>
      </c>
      <c r="K52" s="9">
        <v>4.33</v>
      </c>
      <c r="L52" s="8">
        <v>0.20880000000000001</v>
      </c>
      <c r="M52" s="10">
        <v>192.5</v>
      </c>
      <c r="N52" s="9">
        <v>3.61</v>
      </c>
      <c r="O52" s="10">
        <v>151.1</v>
      </c>
      <c r="P52" s="9">
        <v>2.7</v>
      </c>
      <c r="Q52" s="8">
        <f t="shared" si="9"/>
        <v>5.0179418692786939</v>
      </c>
      <c r="R52" s="8">
        <f t="shared" si="10"/>
        <v>5.2600961537278392</v>
      </c>
      <c r="S52" s="11">
        <v>85082</v>
      </c>
      <c r="T52" s="8">
        <f t="shared" si="11"/>
        <v>11.35137077632514</v>
      </c>
    </row>
    <row r="53" spans="1:21" ht="15" customHeight="1" x14ac:dyDescent="0.35">
      <c r="A53" s="6">
        <v>45717</v>
      </c>
      <c r="B53" s="7">
        <v>5610478</v>
      </c>
      <c r="C53" s="7">
        <v>286541.90999999997</v>
      </c>
      <c r="D53" s="7">
        <v>197830.71</v>
      </c>
      <c r="E53" s="8">
        <f t="shared" si="6"/>
        <v>15.540146478860228</v>
      </c>
      <c r="F53" s="8">
        <f t="shared" si="7"/>
        <v>12.565640087161171</v>
      </c>
      <c r="G53" s="8">
        <f t="shared" si="8"/>
        <v>12.195166943955696</v>
      </c>
      <c r="H53" s="9">
        <v>6.25</v>
      </c>
      <c r="I53" s="9">
        <v>6.25</v>
      </c>
      <c r="J53" s="9">
        <v>6.5</v>
      </c>
      <c r="K53" s="9">
        <v>4.33</v>
      </c>
      <c r="L53" s="8">
        <v>0.249</v>
      </c>
      <c r="M53" s="10">
        <v>192</v>
      </c>
      <c r="N53" s="9">
        <v>3.34</v>
      </c>
      <c r="O53" s="10">
        <v>169.28</v>
      </c>
      <c r="P53" s="9">
        <v>5.8</v>
      </c>
      <c r="Q53" s="8">
        <f t="shared" si="9"/>
        <v>5.1315541486699345</v>
      </c>
      <c r="R53" s="8">
        <f t="shared" si="10"/>
        <v>5.2574953720277815</v>
      </c>
      <c r="S53" s="11">
        <v>86940.952380952396</v>
      </c>
      <c r="T53" s="8">
        <f t="shared" si="11"/>
        <v>11.372984458945083</v>
      </c>
      <c r="U53" t="s">
        <v>64</v>
      </c>
    </row>
    <row r="54" spans="1:21" ht="15" customHeight="1" x14ac:dyDescent="0.35">
      <c r="A54" s="6">
        <v>45748</v>
      </c>
      <c r="B54" s="7">
        <v>5980893.1600000001</v>
      </c>
      <c r="C54" s="7">
        <v>287172.28000000003</v>
      </c>
      <c r="D54" s="7">
        <v>223033.59</v>
      </c>
      <c r="E54" s="8">
        <f t="shared" si="6"/>
        <v>15.604080472633571</v>
      </c>
      <c r="F54" s="8">
        <f t="shared" si="7"/>
        <v>12.567837593392184</v>
      </c>
      <c r="G54" s="8">
        <f t="shared" si="8"/>
        <v>12.315077666901718</v>
      </c>
      <c r="H54" s="9">
        <v>6</v>
      </c>
      <c r="I54" s="9">
        <v>6.25</v>
      </c>
      <c r="J54" s="9">
        <v>6.25</v>
      </c>
      <c r="K54" s="9">
        <v>4.33</v>
      </c>
      <c r="L54" s="8">
        <v>0.42470000000000002</v>
      </c>
      <c r="M54" s="10">
        <v>192.6</v>
      </c>
      <c r="N54" s="9">
        <v>3.16</v>
      </c>
      <c r="O54" s="10">
        <v>151.80000000000001</v>
      </c>
      <c r="P54" s="9">
        <v>2.6</v>
      </c>
      <c r="Q54" s="8">
        <f t="shared" si="9"/>
        <v>5.0225638649615298</v>
      </c>
      <c r="R54" s="8">
        <f t="shared" si="10"/>
        <v>5.2606154993640253</v>
      </c>
      <c r="S54" s="11">
        <v>92838.333333333299</v>
      </c>
      <c r="T54" s="8">
        <f t="shared" si="11"/>
        <v>11.438614908195063</v>
      </c>
    </row>
    <row r="55" spans="1:21" ht="15" customHeight="1" x14ac:dyDescent="0.35">
      <c r="A55" s="6">
        <v>45778</v>
      </c>
      <c r="B55" s="7">
        <v>6061987.4199999999</v>
      </c>
      <c r="C55" s="7">
        <v>290677.78000000003</v>
      </c>
      <c r="D55" s="7">
        <v>251368.81</v>
      </c>
      <c r="E55" s="8">
        <f t="shared" si="6"/>
        <v>15.617548261375033</v>
      </c>
      <c r="F55" s="8">
        <f t="shared" si="7"/>
        <v>12.579970647437063</v>
      </c>
      <c r="G55" s="8">
        <f t="shared" si="8"/>
        <v>12.434676502206871</v>
      </c>
      <c r="H55" s="9">
        <v>6</v>
      </c>
      <c r="I55" s="9">
        <v>6</v>
      </c>
      <c r="J55" s="9">
        <v>6.25</v>
      </c>
      <c r="K55" s="9">
        <v>4.33</v>
      </c>
      <c r="L55" s="8">
        <v>0.76090000000000002</v>
      </c>
      <c r="M55" s="10">
        <v>193</v>
      </c>
      <c r="N55" s="9">
        <v>2.82</v>
      </c>
      <c r="O55" s="10">
        <v>157.6</v>
      </c>
      <c r="P55" s="9">
        <v>1.9</v>
      </c>
      <c r="Q55" s="8">
        <f t="shared" si="9"/>
        <v>5.0600601774237788</v>
      </c>
      <c r="R55" s="8">
        <f t="shared" si="10"/>
        <v>5.2626901889048856</v>
      </c>
      <c r="S55" s="11">
        <v>94646.0454545455</v>
      </c>
      <c r="T55" s="8">
        <f t="shared" si="11"/>
        <v>11.457899375041391</v>
      </c>
    </row>
    <row r="56" spans="1:21" ht="15" customHeight="1" x14ac:dyDescent="0.35">
      <c r="A56" s="6">
        <v>45809</v>
      </c>
      <c r="B56" s="7">
        <v>6150294.8700000001</v>
      </c>
      <c r="C56" s="7">
        <v>292601.71999999997</v>
      </c>
      <c r="D56" s="7">
        <v>277024.77</v>
      </c>
      <c r="E56" s="8">
        <f t="shared" si="6"/>
        <v>15.632010584974775</v>
      </c>
      <c r="F56" s="8">
        <f t="shared" si="7"/>
        <v>12.586567645883077</v>
      </c>
      <c r="G56" s="8">
        <f t="shared" si="8"/>
        <v>12.531862203554205</v>
      </c>
      <c r="H56" s="9">
        <v>5.5</v>
      </c>
      <c r="I56" s="9">
        <v>6</v>
      </c>
      <c r="J56" s="9">
        <v>6</v>
      </c>
      <c r="K56" s="9">
        <v>4.33</v>
      </c>
      <c r="L56" s="8">
        <v>0.4662</v>
      </c>
      <c r="M56" s="10">
        <v>194.2</v>
      </c>
      <c r="N56" s="9">
        <v>2.1</v>
      </c>
      <c r="O56" s="10">
        <v>153.30000000000001</v>
      </c>
      <c r="P56" s="9">
        <v>1.5</v>
      </c>
      <c r="Q56" s="8">
        <f t="shared" si="9"/>
        <v>5.0323967858777685</v>
      </c>
      <c r="R56" s="8">
        <f t="shared" si="10"/>
        <v>5.2688885558572247</v>
      </c>
      <c r="S56" s="11">
        <v>97154.571428571406</v>
      </c>
      <c r="T56" s="8">
        <f t="shared" si="11"/>
        <v>11.484058509062093</v>
      </c>
    </row>
    <row r="57" spans="1:21" ht="15" customHeight="1" x14ac:dyDescent="0.35">
      <c r="A57" s="6">
        <v>45839</v>
      </c>
      <c r="B57" s="7">
        <v>6161047.0300000003</v>
      </c>
      <c r="C57" s="7">
        <v>291088.32</v>
      </c>
      <c r="D57" s="7">
        <v>294166.38</v>
      </c>
      <c r="E57" s="8">
        <f t="shared" si="6"/>
        <v>15.633757293468628</v>
      </c>
      <c r="F57" s="8">
        <f t="shared" si="7"/>
        <v>12.581382005259897</v>
      </c>
      <c r="G57" s="8">
        <f t="shared" si="8"/>
        <v>12.591900804616754</v>
      </c>
      <c r="H57" s="9">
        <v>5.5</v>
      </c>
      <c r="I57" s="9">
        <v>5.5</v>
      </c>
      <c r="J57" s="9">
        <v>6</v>
      </c>
      <c r="K57" s="9">
        <v>4.33</v>
      </c>
      <c r="L57" s="8">
        <v>0.35610000000000003</v>
      </c>
      <c r="M57" s="10">
        <v>196.1</v>
      </c>
      <c r="N57" s="9">
        <v>1.61</v>
      </c>
      <c r="O57" s="10">
        <v>156.19999999999999</v>
      </c>
      <c r="P57" s="9">
        <v>4.3</v>
      </c>
      <c r="Q57" s="8">
        <f t="shared" si="9"/>
        <v>5.0511372374055856</v>
      </c>
      <c r="R57" s="8">
        <f t="shared" si="10"/>
        <v>5.2786247332023004</v>
      </c>
      <c r="S57" s="11">
        <v>97560.478260869597</v>
      </c>
      <c r="T57" s="8">
        <f t="shared" si="11"/>
        <v>11.488227754540777</v>
      </c>
    </row>
    <row r="58" spans="1:21" ht="15" customHeight="1" x14ac:dyDescent="0.35">
      <c r="A58" s="6">
        <v>45870</v>
      </c>
      <c r="B58" s="7">
        <v>6213373.1900000004</v>
      </c>
      <c r="C58" s="7">
        <v>288690.58</v>
      </c>
      <c r="D58" s="7">
        <v>305814.44</v>
      </c>
      <c r="E58" s="8">
        <f t="shared" si="6"/>
        <v>15.642214493232606</v>
      </c>
      <c r="F58" s="8">
        <f t="shared" si="7"/>
        <v>12.573110736092017</v>
      </c>
      <c r="G58" s="8">
        <f t="shared" si="8"/>
        <v>12.630733791767744</v>
      </c>
      <c r="H58" s="9">
        <v>5.5</v>
      </c>
      <c r="I58" s="9">
        <v>5.5</v>
      </c>
      <c r="J58" s="9">
        <v>5.5</v>
      </c>
      <c r="K58" s="9">
        <v>4.33</v>
      </c>
      <c r="L58" s="8">
        <v>0.47949999999999998</v>
      </c>
      <c r="M58" s="10">
        <v>197</v>
      </c>
      <c r="N58" s="9">
        <v>2.0699999999999998</v>
      </c>
      <c r="O58" s="10">
        <v>151.69999999999999</v>
      </c>
      <c r="P58" s="9">
        <v>4</v>
      </c>
      <c r="Q58" s="8">
        <f t="shared" si="9"/>
        <v>5.0219048863544868</v>
      </c>
      <c r="R58" s="8">
        <f t="shared" si="10"/>
        <v>5.2832037287379885</v>
      </c>
      <c r="S58" s="11">
        <v>99704.75</v>
      </c>
      <c r="T58" s="8">
        <f t="shared" si="11"/>
        <v>11.509968597743828</v>
      </c>
    </row>
    <row r="59" spans="1:21" ht="15" customHeight="1" x14ac:dyDescent="0.35">
      <c r="A59" s="6">
        <v>45901</v>
      </c>
      <c r="B59" s="7">
        <v>6254273.96</v>
      </c>
      <c r="C59" s="7">
        <v>281822.65000000002</v>
      </c>
      <c r="D59" s="7">
        <v>316042.21999999997</v>
      </c>
      <c r="E59" s="8">
        <f t="shared" si="6"/>
        <v>15.648775621604926</v>
      </c>
      <c r="F59" s="8">
        <f t="shared" si="7"/>
        <v>12.549033251370027</v>
      </c>
      <c r="G59" s="8">
        <f t="shared" si="8"/>
        <v>12.663631091239287</v>
      </c>
      <c r="H59" s="9">
        <v>5.5</v>
      </c>
      <c r="I59" s="9">
        <v>5.5</v>
      </c>
      <c r="J59" s="9">
        <v>5.5</v>
      </c>
      <c r="K59" s="9">
        <v>4.22</v>
      </c>
      <c r="L59" s="8">
        <v>0.41149999999999998</v>
      </c>
      <c r="M59" s="10">
        <v>197</v>
      </c>
      <c r="N59" s="9">
        <v>1.44</v>
      </c>
      <c r="O59" s="10">
        <v>153.69999999999999</v>
      </c>
      <c r="P59" s="9">
        <v>4.5999999999999996</v>
      </c>
      <c r="Q59" s="8">
        <f t="shared" si="9"/>
        <v>5.0350026505445502</v>
      </c>
      <c r="R59" s="8">
        <f t="shared" si="10"/>
        <v>5.2832037287379885</v>
      </c>
      <c r="S59" s="11">
        <v>109576.136363636</v>
      </c>
      <c r="T59" s="8">
        <f t="shared" si="11"/>
        <v>11.604374895880152</v>
      </c>
    </row>
    <row r="60" spans="1:21" ht="15" customHeight="1" x14ac:dyDescent="0.35">
      <c r="A60" s="6">
        <v>45931</v>
      </c>
      <c r="B60" s="7">
        <v>6455945.9400000004</v>
      </c>
      <c r="C60" s="7">
        <v>303072.78000000003</v>
      </c>
      <c r="D60" s="7">
        <v>337580.28</v>
      </c>
      <c r="E60" s="8">
        <f t="shared" si="6"/>
        <v>15.680512115290915</v>
      </c>
      <c r="F60" s="8">
        <f t="shared" si="7"/>
        <v>12.621728253668383</v>
      </c>
      <c r="G60" s="8">
        <f t="shared" si="8"/>
        <v>12.729558627675598</v>
      </c>
      <c r="H60" s="9">
        <v>5.5</v>
      </c>
      <c r="I60" s="9">
        <v>5.5</v>
      </c>
      <c r="J60" s="9">
        <v>5.5</v>
      </c>
      <c r="K60" s="9">
        <v>4.09</v>
      </c>
      <c r="L60" s="8">
        <v>0.28770000000000001</v>
      </c>
      <c r="M60" s="10">
        <v>197.3</v>
      </c>
      <c r="N60" s="9">
        <v>0.25</v>
      </c>
      <c r="O60" s="10">
        <v>151.1</v>
      </c>
      <c r="P60" s="9">
        <v>0.5</v>
      </c>
      <c r="Q60" s="8">
        <f t="shared" si="9"/>
        <v>5.0179418692786939</v>
      </c>
      <c r="R60" s="8">
        <f t="shared" si="10"/>
        <v>5.2847254130285695</v>
      </c>
      <c r="S60" s="11">
        <v>122815.318181818</v>
      </c>
      <c r="T60" s="8">
        <f t="shared" si="11"/>
        <v>11.718437027809964</v>
      </c>
    </row>
    <row r="61" spans="1:21" ht="15" customHeight="1" x14ac:dyDescent="0.35">
      <c r="A61" s="6">
        <v>45962</v>
      </c>
      <c r="B61" s="7">
        <v>6486418.1799999997</v>
      </c>
      <c r="C61" s="7">
        <v>296070.14</v>
      </c>
      <c r="D61" s="7">
        <v>358644.5</v>
      </c>
      <c r="E61" s="8">
        <f t="shared" si="6"/>
        <v>15.685221038023261</v>
      </c>
      <c r="F61" s="8">
        <f t="shared" si="7"/>
        <v>12.598351664695198</v>
      </c>
      <c r="G61" s="8">
        <f t="shared" si="8"/>
        <v>12.790086926151897</v>
      </c>
      <c r="H61" s="9">
        <v>5.5</v>
      </c>
      <c r="I61" s="9">
        <v>5.5</v>
      </c>
      <c r="J61" s="9">
        <v>5.5</v>
      </c>
      <c r="K61" s="9">
        <v>3.88</v>
      </c>
      <c r="L61" s="8">
        <v>0.1885</v>
      </c>
      <c r="M61" s="10">
        <v>197.9</v>
      </c>
      <c r="N61" s="9">
        <v>0.71</v>
      </c>
      <c r="O61" s="10">
        <v>158.69999999999999</v>
      </c>
      <c r="P61" s="9">
        <v>7.2</v>
      </c>
      <c r="Q61" s="8">
        <f t="shared" si="9"/>
        <v>5.0670156275323635</v>
      </c>
      <c r="R61" s="8">
        <f t="shared" si="10"/>
        <v>5.2877618526085204</v>
      </c>
      <c r="S61" s="11">
        <v>122847.65</v>
      </c>
      <c r="T61" s="8">
        <f t="shared" si="11"/>
        <v>11.718700248747234</v>
      </c>
    </row>
    <row r="62" spans="1:21" ht="15" customHeight="1" x14ac:dyDescent="0.35">
      <c r="A62" s="6">
        <v>45992</v>
      </c>
      <c r="B62" s="7">
        <v>6648249.7800000003</v>
      </c>
      <c r="C62" s="7">
        <v>294068.06</v>
      </c>
      <c r="D62" s="7">
        <v>382706.33</v>
      </c>
      <c r="E62" s="8">
        <f t="shared" si="6"/>
        <v>15.709864187013769</v>
      </c>
      <c r="F62" s="8">
        <f t="shared" si="7"/>
        <v>12.591566516128255</v>
      </c>
      <c r="G62" s="8">
        <f t="shared" si="8"/>
        <v>12.855023211648051</v>
      </c>
      <c r="H62" s="9">
        <v>5.25</v>
      </c>
      <c r="I62" s="9">
        <v>5.5</v>
      </c>
      <c r="J62" s="9">
        <v>5.5</v>
      </c>
      <c r="K62" s="9">
        <v>3.72</v>
      </c>
      <c r="L62" s="8">
        <v>0.31480000000000002</v>
      </c>
      <c r="M62" s="10">
        <v>198</v>
      </c>
      <c r="N62" s="9">
        <v>1.33</v>
      </c>
      <c r="O62" s="10">
        <v>170.7</v>
      </c>
      <c r="P62" s="9">
        <v>8</v>
      </c>
      <c r="Q62" s="8">
        <f t="shared" si="9"/>
        <v>5.139907629800395</v>
      </c>
      <c r="R62" s="8">
        <f t="shared" si="10"/>
        <v>5.2882670306945352</v>
      </c>
      <c r="S62" s="11">
        <v>131298.954545455</v>
      </c>
      <c r="T62" s="8">
        <f t="shared" si="11"/>
        <v>11.785232097924496</v>
      </c>
    </row>
    <row r="63" spans="1:21" ht="15" customHeight="1" x14ac:dyDescent="0.35">
      <c r="A63" s="6">
        <v>46023</v>
      </c>
      <c r="B63" s="7">
        <v>6723042.1200000001</v>
      </c>
      <c r="C63" s="7">
        <v>296417.21000000002</v>
      </c>
      <c r="D63" s="7">
        <v>400517.2</v>
      </c>
      <c r="E63" s="8">
        <f t="shared" si="6"/>
        <v>15.721051306491789</v>
      </c>
      <c r="F63" s="8">
        <f t="shared" si="7"/>
        <v>12.599523234146254</v>
      </c>
      <c r="G63" s="8">
        <f t="shared" si="8"/>
        <v>12.900511990885487</v>
      </c>
      <c r="H63" s="9">
        <v>5.25</v>
      </c>
      <c r="I63" s="9">
        <v>5.25</v>
      </c>
      <c r="J63" s="9">
        <v>5.5</v>
      </c>
      <c r="K63" s="9">
        <v>3.64</v>
      </c>
      <c r="L63" s="8">
        <v>0.32969999999999999</v>
      </c>
      <c r="M63" s="10">
        <v>198.7</v>
      </c>
      <c r="N63" s="9">
        <v>2.74</v>
      </c>
      <c r="O63" s="10">
        <v>169.9</v>
      </c>
      <c r="P63" s="9">
        <v>5.0999999999999996</v>
      </c>
      <c r="Q63" s="8">
        <f t="shared" si="9"/>
        <v>5.1352100286778866</v>
      </c>
      <c r="R63" s="8">
        <f t="shared" si="10"/>
        <v>5.2917961495577712</v>
      </c>
      <c r="S63" s="11">
        <v>145712.47619047601</v>
      </c>
      <c r="T63" s="8">
        <f t="shared" si="11"/>
        <v>11.889390617827377</v>
      </c>
    </row>
    <row r="64" spans="1:21" ht="15" customHeight="1" x14ac:dyDescent="0.35">
      <c r="A64" s="6">
        <v>46054</v>
      </c>
      <c r="B64" s="7">
        <v>6796850.1600000001</v>
      </c>
      <c r="C64" s="7">
        <v>292066.51</v>
      </c>
      <c r="D64" s="7">
        <v>428577.99</v>
      </c>
      <c r="E64" s="8">
        <f t="shared" si="6"/>
        <v>15.731969851065919</v>
      </c>
      <c r="F64" s="8">
        <f t="shared" si="7"/>
        <v>12.584736829286468</v>
      </c>
      <c r="G64" s="8">
        <f t="shared" si="8"/>
        <v>12.968228007459874</v>
      </c>
      <c r="H64" s="9">
        <v>5.25</v>
      </c>
      <c r="I64" s="9">
        <v>5.25</v>
      </c>
      <c r="J64" s="9">
        <v>5.25</v>
      </c>
      <c r="K64" s="9">
        <v>3.64</v>
      </c>
      <c r="L64" s="8">
        <v>0.42220000000000002</v>
      </c>
      <c r="M64" s="10">
        <v>198.68</v>
      </c>
      <c r="N64" s="9">
        <v>3.21</v>
      </c>
      <c r="O64" s="10">
        <v>158.80000000000001</v>
      </c>
      <c r="P64" s="9">
        <v>5.0999999999999996</v>
      </c>
      <c r="Q64" s="8">
        <f t="shared" si="9"/>
        <v>5.0676455488130356</v>
      </c>
      <c r="R64" s="8">
        <f t="shared" si="10"/>
        <v>5.2916954902391495</v>
      </c>
      <c r="S64" s="11">
        <v>154517.20000000001</v>
      </c>
      <c r="T64" s="8">
        <f t="shared" si="11"/>
        <v>11.948060695984404</v>
      </c>
    </row>
    <row r="65" spans="1:22" ht="15" customHeight="1" x14ac:dyDescent="0.35">
      <c r="A65" s="6">
        <v>46082</v>
      </c>
      <c r="B65" s="7">
        <v>6941339.0599999996</v>
      </c>
      <c r="C65" s="7">
        <v>294460.78000000003</v>
      </c>
      <c r="D65" s="7">
        <v>460312.81</v>
      </c>
      <c r="E65" s="8">
        <f t="shared" si="6"/>
        <v>15.753005261997693</v>
      </c>
      <c r="F65" s="8">
        <f t="shared" si="7"/>
        <v>12.592901098332552</v>
      </c>
      <c r="G65" s="8">
        <f t="shared" si="8"/>
        <v>13.039661559094393</v>
      </c>
      <c r="H65" s="9">
        <v>5.25</v>
      </c>
      <c r="I65" s="9">
        <v>5.25</v>
      </c>
      <c r="J65" s="9">
        <v>5.25</v>
      </c>
      <c r="K65" s="9">
        <v>3.64</v>
      </c>
      <c r="L65" s="8">
        <v>1.0018</v>
      </c>
      <c r="M65" s="10">
        <v>198.53</v>
      </c>
      <c r="N65" s="9">
        <v>3.4</v>
      </c>
      <c r="O65" s="10">
        <v>173.2</v>
      </c>
      <c r="P65" s="9">
        <v>4.0999999999999996</v>
      </c>
      <c r="Q65" s="8">
        <f t="shared" si="9"/>
        <v>5.1544469961283346</v>
      </c>
      <c r="R65" s="8">
        <f t="shared" si="10"/>
        <v>5.2909402222089872</v>
      </c>
      <c r="S65" s="11">
        <v>153249.14285714299</v>
      </c>
      <c r="T65" s="8">
        <f t="shared" si="11"/>
        <v>11.939820260680976</v>
      </c>
    </row>
    <row r="66" spans="1:22" ht="15" customHeight="1" x14ac:dyDescent="0.35">
      <c r="A66" s="6">
        <v>46113</v>
      </c>
      <c r="B66" s="7">
        <v>6960421.9900000002</v>
      </c>
      <c r="C66" s="7">
        <v>298015.84000000003</v>
      </c>
      <c r="D66" s="7">
        <v>488761.1</v>
      </c>
      <c r="E66" s="8">
        <f t="shared" si="6"/>
        <v>15.755750661219759</v>
      </c>
      <c r="F66" s="8">
        <f t="shared" si="7"/>
        <v>12.604901918437315</v>
      </c>
      <c r="G66" s="8">
        <f t="shared" si="8"/>
        <v>13.099629101021264</v>
      </c>
      <c r="H66" s="9">
        <v>5.25</v>
      </c>
      <c r="I66" s="9">
        <v>5.25</v>
      </c>
      <c r="J66" s="9">
        <v>5.25</v>
      </c>
      <c r="K66" s="9">
        <v>3.64</v>
      </c>
      <c r="L66" s="8">
        <v>0.58230000000000004</v>
      </c>
      <c r="M66" s="10">
        <v>199.3</v>
      </c>
      <c r="N66" s="9">
        <v>3.48</v>
      </c>
      <c r="O66" s="10">
        <v>159.24</v>
      </c>
      <c r="P66" s="9">
        <v>4.9000000000000004</v>
      </c>
      <c r="Q66" s="8">
        <f t="shared" si="9"/>
        <v>5.0704124981321161</v>
      </c>
      <c r="R66" s="8">
        <f t="shared" si="10"/>
        <v>5.2948112272187489</v>
      </c>
      <c r="S66" s="11">
        <v>149880.52380952399</v>
      </c>
      <c r="T66" s="8">
        <f t="shared" si="11"/>
        <v>11.917593747760897</v>
      </c>
    </row>
    <row r="67" spans="1:22" ht="15" customHeight="1" x14ac:dyDescent="0.35">
      <c r="A67" s="6">
        <v>46143</v>
      </c>
      <c r="B67" s="7">
        <v>7015041.4400000004</v>
      </c>
      <c r="C67" s="7">
        <v>294534.61</v>
      </c>
      <c r="D67" s="7">
        <v>514281.24</v>
      </c>
      <c r="E67" s="8">
        <f t="shared" si="6"/>
        <v>15.763567178842662</v>
      </c>
      <c r="F67" s="8">
        <f t="shared" si="7"/>
        <v>12.593151796391112</v>
      </c>
      <c r="G67" s="8">
        <f t="shared" si="8"/>
        <v>13.15052555433318</v>
      </c>
      <c r="H67" s="9">
        <v>5.25</v>
      </c>
      <c r="I67" s="9">
        <v>5.25</v>
      </c>
      <c r="J67" s="9">
        <v>5.25</v>
      </c>
      <c r="K67" s="9">
        <v>3.63</v>
      </c>
      <c r="L67" s="8">
        <v>0.55959999999999999</v>
      </c>
      <c r="M67" s="10">
        <v>200.58</v>
      </c>
      <c r="N67" s="9">
        <v>3.93</v>
      </c>
      <c r="O67" s="10">
        <v>165.48</v>
      </c>
      <c r="P67" s="9">
        <v>5</v>
      </c>
      <c r="Q67" s="8">
        <f t="shared" si="9"/>
        <v>5.1088503415932109</v>
      </c>
      <c r="R67" s="8">
        <f t="shared" si="10"/>
        <v>5.3012131696600626</v>
      </c>
      <c r="S67" s="11">
        <v>154617.47619047601</v>
      </c>
      <c r="T67" s="8">
        <f t="shared" ref="T67:T98" si="12">IF(S67="","",LN(S67))</f>
        <v>11.948709450082319</v>
      </c>
    </row>
    <row r="68" spans="1:22" ht="15" customHeight="1" x14ac:dyDescent="0.35">
      <c r="A68" s="6">
        <v>46174</v>
      </c>
      <c r="B68" s="7">
        <v>7113585.5099999998</v>
      </c>
      <c r="C68" s="7">
        <v>298280.40000000002</v>
      </c>
      <c r="D68" s="7">
        <v>535543.9</v>
      </c>
      <c r="E68" s="8">
        <f t="shared" si="6"/>
        <v>15.777516965806621</v>
      </c>
      <c r="F68" s="8">
        <f t="shared" si="7"/>
        <v>12.605789262678691</v>
      </c>
      <c r="G68" s="8">
        <f t="shared" si="8"/>
        <v>13.191038144968259</v>
      </c>
      <c r="H68" s="9">
        <v>5.25</v>
      </c>
      <c r="I68" s="9">
        <v>5.25</v>
      </c>
      <c r="J68" s="9">
        <v>5.25</v>
      </c>
      <c r="K68" s="9">
        <v>3.63</v>
      </c>
      <c r="L68" s="8">
        <v>0.34939999999999999</v>
      </c>
      <c r="M68" s="10">
        <v>202.71</v>
      </c>
      <c r="N68" s="9">
        <v>4.38</v>
      </c>
      <c r="O68" s="10">
        <v>164.49</v>
      </c>
      <c r="P68" s="9">
        <v>7.3</v>
      </c>
      <c r="Q68" s="8">
        <f t="shared" si="9"/>
        <v>5.1028497780840665</v>
      </c>
      <c r="R68" s="8">
        <f t="shared" si="10"/>
        <v>5.3117763862321929</v>
      </c>
      <c r="S68" s="11">
        <v>147873.363636364</v>
      </c>
      <c r="T68" s="8">
        <f t="shared" si="12"/>
        <v>11.904111535362244</v>
      </c>
      <c r="V68" t="s">
        <v>64</v>
      </c>
    </row>
    <row r="69" spans="1:22" x14ac:dyDescent="0.35">
      <c r="A69" s="6"/>
      <c r="B69" s="7"/>
      <c r="C69" s="7"/>
      <c r="D69" s="7"/>
      <c r="E69" s="8"/>
      <c r="F69" s="8"/>
      <c r="G69" s="8"/>
      <c r="H69" s="9"/>
      <c r="I69" s="9"/>
      <c r="J69" s="9"/>
      <c r="K69" s="9"/>
      <c r="L69" s="8"/>
      <c r="M69" s="10"/>
      <c r="N69" s="9"/>
      <c r="O69" s="10"/>
      <c r="P69" s="9"/>
      <c r="Q69" s="8"/>
      <c r="R69" s="8"/>
      <c r="S69" s="11"/>
      <c r="T69" s="8"/>
    </row>
    <row r="70" spans="1:22" x14ac:dyDescent="0.35">
      <c r="A70" s="6"/>
      <c r="B70" s="7"/>
      <c r="C70" s="7"/>
      <c r="D70" s="7"/>
      <c r="E70" s="8"/>
      <c r="F70" s="8"/>
      <c r="G70" s="8"/>
      <c r="H70" s="9"/>
      <c r="I70" s="9"/>
      <c r="J70" s="9"/>
      <c r="K70" s="9"/>
      <c r="L70" s="8"/>
      <c r="M70" s="10"/>
      <c r="N70" s="9"/>
      <c r="O70" s="10"/>
      <c r="P70" s="9"/>
      <c r="Q70" s="8"/>
      <c r="R70" s="8"/>
      <c r="S70" s="11"/>
      <c r="T70" s="8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3" width="45" customWidth="1"/>
    <col min="4" max="4" width="55" customWidth="1"/>
  </cols>
  <sheetData>
    <row r="1" spans="1:4" ht="15" customHeight="1" x14ac:dyDescent="0.35">
      <c r="A1" s="12" t="s">
        <v>65</v>
      </c>
      <c r="B1" s="12" t="s">
        <v>66</v>
      </c>
      <c r="C1" s="12" t="s">
        <v>67</v>
      </c>
      <c r="D1" s="12" t="s">
        <v>68</v>
      </c>
    </row>
    <row r="2" spans="1:4" ht="23.25" customHeight="1" x14ac:dyDescent="0.35">
      <c r="A2" s="13" t="s">
        <v>69</v>
      </c>
      <c r="B2" s="13" t="s">
        <v>70</v>
      </c>
      <c r="C2" s="13" t="s">
        <v>71</v>
      </c>
      <c r="D2" s="13" t="s">
        <v>72</v>
      </c>
    </row>
    <row r="3" spans="1:4" ht="23.25" customHeight="1" x14ac:dyDescent="0.35">
      <c r="A3" s="13" t="s">
        <v>73</v>
      </c>
      <c r="B3" s="13" t="s">
        <v>74</v>
      </c>
      <c r="C3" s="13" t="s">
        <v>75</v>
      </c>
      <c r="D3" s="13" t="s">
        <v>76</v>
      </c>
    </row>
    <row r="4" spans="1:4" ht="23.25" customHeight="1" x14ac:dyDescent="0.35">
      <c r="A4" s="13" t="s">
        <v>77</v>
      </c>
      <c r="B4" s="13" t="s">
        <v>74</v>
      </c>
      <c r="C4" s="13" t="s">
        <v>78</v>
      </c>
      <c r="D4" s="13" t="s">
        <v>79</v>
      </c>
    </row>
    <row r="5" spans="1:4" ht="23.25" customHeight="1" x14ac:dyDescent="0.35">
      <c r="A5" s="13" t="s">
        <v>80</v>
      </c>
      <c r="B5" s="13" t="s">
        <v>74</v>
      </c>
      <c r="C5" s="13" t="s">
        <v>81</v>
      </c>
      <c r="D5" s="13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0" customWidth="1"/>
    <col min="2" max="4" width="45" customWidth="1"/>
  </cols>
  <sheetData>
    <row r="1" spans="1:4" ht="15" customHeight="1" x14ac:dyDescent="0.35">
      <c r="A1" s="12" t="s">
        <v>83</v>
      </c>
      <c r="B1" s="12" t="s">
        <v>84</v>
      </c>
      <c r="C1" s="12" t="s">
        <v>85</v>
      </c>
      <c r="D1" s="12" t="s">
        <v>86</v>
      </c>
    </row>
    <row r="2" spans="1:4" ht="34.5" customHeight="1" x14ac:dyDescent="0.35">
      <c r="A2" s="13" t="s">
        <v>87</v>
      </c>
      <c r="B2" s="13" t="s">
        <v>88</v>
      </c>
      <c r="C2" s="13" t="s">
        <v>89</v>
      </c>
      <c r="D2" s="13" t="s">
        <v>90</v>
      </c>
    </row>
    <row r="3" spans="1:4" ht="23.25" customHeight="1" x14ac:dyDescent="0.35">
      <c r="A3" s="13" t="s">
        <v>91</v>
      </c>
      <c r="B3" s="13" t="s">
        <v>92</v>
      </c>
      <c r="C3" s="13" t="s">
        <v>93</v>
      </c>
      <c r="D3" s="13" t="s">
        <v>94</v>
      </c>
    </row>
    <row r="4" spans="1:4" ht="23.25" customHeight="1" x14ac:dyDescent="0.35">
      <c r="A4" s="13" t="s">
        <v>30</v>
      </c>
      <c r="B4" s="13" t="s">
        <v>95</v>
      </c>
      <c r="C4" s="13" t="s">
        <v>96</v>
      </c>
      <c r="D4" s="13" t="s">
        <v>97</v>
      </c>
    </row>
    <row r="5" spans="1:4" ht="23.25" customHeight="1" x14ac:dyDescent="0.35">
      <c r="A5" s="13" t="s">
        <v>31</v>
      </c>
      <c r="B5" s="13" t="s">
        <v>98</v>
      </c>
      <c r="C5" s="13" t="s">
        <v>99</v>
      </c>
      <c r="D5" s="13" t="s">
        <v>97</v>
      </c>
    </row>
    <row r="6" spans="1:4" ht="15" customHeight="1" x14ac:dyDescent="0.35">
      <c r="A6" s="13" t="s">
        <v>100</v>
      </c>
      <c r="B6" s="13" t="s">
        <v>101</v>
      </c>
      <c r="C6" s="13" t="s">
        <v>102</v>
      </c>
      <c r="D6" s="13" t="s">
        <v>103</v>
      </c>
    </row>
    <row r="7" spans="1:4" ht="23.25" customHeight="1" x14ac:dyDescent="0.35">
      <c r="A7" s="13" t="s">
        <v>104</v>
      </c>
      <c r="B7" s="13" t="s">
        <v>105</v>
      </c>
      <c r="C7" s="13" t="s">
        <v>106</v>
      </c>
      <c r="D7" s="13" t="s">
        <v>107</v>
      </c>
    </row>
    <row r="8" spans="1:4" ht="23.25" customHeight="1" x14ac:dyDescent="0.35">
      <c r="A8" s="13" t="s">
        <v>38</v>
      </c>
      <c r="B8" s="13" t="s">
        <v>108</v>
      </c>
      <c r="C8" s="13" t="s">
        <v>109</v>
      </c>
      <c r="D8" s="13" t="s"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25" customWidth="1"/>
    <col min="3" max="3" width="55" customWidth="1"/>
    <col min="4" max="4" width="70" customWidth="1"/>
  </cols>
  <sheetData>
    <row r="1" spans="1:4" ht="15" customHeight="1" x14ac:dyDescent="0.35">
      <c r="A1" s="14" t="s">
        <v>111</v>
      </c>
      <c r="B1" s="14" t="s">
        <v>112</v>
      </c>
      <c r="C1" s="14" t="s">
        <v>113</v>
      </c>
      <c r="D1" s="14" t="s">
        <v>114</v>
      </c>
    </row>
    <row r="2" spans="1:4" ht="60" customHeight="1" x14ac:dyDescent="0.35">
      <c r="A2" s="13" t="s">
        <v>115</v>
      </c>
      <c r="B2" s="13" t="s">
        <v>116</v>
      </c>
      <c r="C2" s="13" t="s">
        <v>117</v>
      </c>
      <c r="D2" s="13" t="s">
        <v>118</v>
      </c>
    </row>
    <row r="3" spans="1:4" ht="60" customHeight="1" x14ac:dyDescent="0.35">
      <c r="A3" s="13" t="s">
        <v>119</v>
      </c>
      <c r="B3" s="13" t="s">
        <v>120</v>
      </c>
      <c r="C3" s="13" t="s">
        <v>121</v>
      </c>
      <c r="D3" s="13" t="s">
        <v>122</v>
      </c>
    </row>
    <row r="4" spans="1:4" ht="60" customHeight="1" x14ac:dyDescent="0.35">
      <c r="A4" s="13" t="s">
        <v>123</v>
      </c>
      <c r="B4" s="13" t="s">
        <v>124</v>
      </c>
      <c r="C4" s="13" t="s">
        <v>125</v>
      </c>
      <c r="D4" s="13" t="s">
        <v>126</v>
      </c>
    </row>
    <row r="5" spans="1:4" ht="60" customHeight="1" x14ac:dyDescent="0.35">
      <c r="A5" s="13" t="s">
        <v>127</v>
      </c>
      <c r="B5" s="13" t="s">
        <v>128</v>
      </c>
      <c r="C5" s="13" t="s">
        <v>129</v>
      </c>
      <c r="D5" s="13" t="s">
        <v>130</v>
      </c>
    </row>
    <row r="6" spans="1:4" ht="60" customHeight="1" x14ac:dyDescent="0.35">
      <c r="A6" s="13" t="s">
        <v>131</v>
      </c>
      <c r="B6" s="13" t="s">
        <v>132</v>
      </c>
      <c r="C6" s="13" t="s">
        <v>133</v>
      </c>
      <c r="D6" s="13" t="s">
        <v>134</v>
      </c>
    </row>
    <row r="7" spans="1:4" ht="60" customHeight="1" x14ac:dyDescent="0.35">
      <c r="A7" s="13" t="s">
        <v>135</v>
      </c>
      <c r="B7" s="13" t="s">
        <v>136</v>
      </c>
      <c r="C7" s="13" t="s">
        <v>137</v>
      </c>
      <c r="D7" s="13" t="s">
        <v>138</v>
      </c>
    </row>
    <row r="8" spans="1:4" ht="37.5" x14ac:dyDescent="0.35">
      <c r="A8" s="13" t="s">
        <v>139</v>
      </c>
      <c r="B8" s="13" t="s">
        <v>140</v>
      </c>
      <c r="C8" s="13" t="s">
        <v>141</v>
      </c>
      <c r="D8" s="13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Master_Dataset</vt:lpstr>
      <vt:lpstr>Model_Variable_Map</vt:lpstr>
      <vt:lpstr>Data_Sources</vt:lpstr>
      <vt:lpstr>Notes_and_Gaps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j.harithaganesha@outlook.com</cp:lastModifiedBy>
  <cp:revision>0</cp:revision>
  <dcterms:created xsi:type="dcterms:W3CDTF">2026-08-07T05:53:22Z</dcterms:created>
  <dcterms:modified xsi:type="dcterms:W3CDTF">2026-08-15T02:00:00Z</dcterms:modified>
  <dc:language>en-US</dc:language>
</cp:coreProperties>
</file>